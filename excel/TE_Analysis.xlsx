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hennesandmauritz-my.sharepoint.com/personal/maksym_biriukov_hm_com/Documents/Pulpit/test123/Excel/"/>
    </mc:Choice>
  </mc:AlternateContent>
  <xr:revisionPtr revIDLastSave="1124" documentId="11_F25DC773A252ABDACC10488CE9DA7D245ADE5916" xr6:coauthVersionLast="47" xr6:coauthVersionMax="47" xr10:uidLastSave="{77F1A776-8054-455A-8291-682EAF0C2A89}"/>
  <bookViews>
    <workbookView xWindow="-110" yWindow="-110" windowWidth="19420" windowHeight="11500" tabRatio="607" activeTab="1" xr2:uid="{00000000-000D-0000-FFFF-FFFF00000000}"/>
  </bookViews>
  <sheets>
    <sheet name="TE_Audit" sheetId="4" r:id="rId1"/>
    <sheet name="Validation" sheetId="1" r:id="rId2"/>
    <sheet name="Spend Analysis" sheetId="5" r:id="rId3"/>
    <sheet name="Compliance Analysis" sheetId="6" r:id="rId4"/>
    <sheet name="Employee Analysis" sheetId="7" r:id="rId5"/>
  </sheets>
  <definedNames>
    <definedName name="Slicer_Category">#N/A</definedName>
    <definedName name="Slicer_Department">#N/A</definedName>
    <definedName name="Slicer_Review_Reas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 r="D9" i="1" s="1"/>
  <c r="E9" i="1" s="1"/>
  <c r="C4" i="1"/>
  <c r="D4" i="1" s="1"/>
  <c r="E4" i="1" s="1"/>
  <c r="C11" i="1"/>
  <c r="D11" i="1" s="1"/>
  <c r="E11" i="1" s="1"/>
  <c r="C10" i="1"/>
  <c r="D10" i="1" s="1"/>
  <c r="E10" i="1" s="1"/>
  <c r="C8" i="1"/>
  <c r="D8" i="1" s="1"/>
  <c r="E8" i="1" s="1"/>
  <c r="C7" i="1"/>
  <c r="D7" i="1" s="1"/>
  <c r="E7" i="1" s="1"/>
  <c r="C6" i="1"/>
  <c r="D6" i="1" s="1"/>
  <c r="E6" i="1" s="1"/>
  <c r="C5" i="1"/>
  <c r="D5" i="1" s="1"/>
  <c r="E5" i="1" s="1"/>
</calcChain>
</file>

<file path=xl/sharedStrings.xml><?xml version="1.0" encoding="utf-8"?>
<sst xmlns="http://schemas.openxmlformats.org/spreadsheetml/2006/main" count="4908" uniqueCount="561">
  <si>
    <t>SQL vs Excel Validation</t>
  </si>
  <si>
    <t>Validation Check</t>
  </si>
  <si>
    <t>SQL Result</t>
  </si>
  <si>
    <t>Excel Result</t>
  </si>
  <si>
    <t>Difference</t>
  </si>
  <si>
    <t>Status</t>
  </si>
  <si>
    <t>Transaction Count</t>
  </si>
  <si>
    <t>Total Spend</t>
  </si>
  <si>
    <t>Policy Violations</t>
  </si>
  <si>
    <t>Excess Spend</t>
  </si>
  <si>
    <t>Missing Receipts</t>
  </si>
  <si>
    <t>Missing Receipt Spend</t>
  </si>
  <si>
    <t>Personal Card Transactions</t>
  </si>
  <si>
    <t>Personal Card Spend</t>
  </si>
  <si>
    <t>Transaction ID</t>
  </si>
  <si>
    <t>Date</t>
  </si>
  <si>
    <t>Year</t>
  </si>
  <si>
    <t>Month Number</t>
  </si>
  <si>
    <t>Month Name</t>
  </si>
  <si>
    <t>Year-Month</t>
  </si>
  <si>
    <t>Employee ID</t>
  </si>
  <si>
    <t>Name</t>
  </si>
  <si>
    <t>Department</t>
  </si>
  <si>
    <t>Region</t>
  </si>
  <si>
    <t>Category</t>
  </si>
  <si>
    <t>Amount</t>
  </si>
  <si>
    <t>Payment Method</t>
  </si>
  <si>
    <t>Business Purpose</t>
  </si>
  <si>
    <t>Business Purpose Group</t>
  </si>
  <si>
    <t>Location</t>
  </si>
  <si>
    <t>Policy Limit</t>
  </si>
  <si>
    <t>Excess Amount</t>
  </si>
  <si>
    <t>Policy Violation</t>
  </si>
  <si>
    <t>Missing Receipt</t>
  </si>
  <si>
    <t>Receipt Status</t>
  </si>
  <si>
    <t>Personal Card Flag</t>
  </si>
  <si>
    <t>Compliance Status</t>
  </si>
  <si>
    <t>Review Reason</t>
  </si>
  <si>
    <t>T00234</t>
  </si>
  <si>
    <t>October</t>
  </si>
  <si>
    <t>E158</t>
  </si>
  <si>
    <t>Shirley Stewart</t>
  </si>
  <si>
    <t>Finance</t>
  </si>
  <si>
    <t>Berlin, Germany</t>
  </si>
  <si>
    <t>Train</t>
  </si>
  <si>
    <t>Corporate Card</t>
  </si>
  <si>
    <t>Business trip</t>
  </si>
  <si>
    <t>Travel</t>
  </si>
  <si>
    <t>Complete</t>
  </si>
  <si>
    <t>OK</t>
  </si>
  <si>
    <t>T00167</t>
  </si>
  <si>
    <t>February</t>
  </si>
  <si>
    <t>E146</t>
  </si>
  <si>
    <t>Deborah Rivera</t>
  </si>
  <si>
    <t>Warsaw, Poland</t>
  </si>
  <si>
    <t>Hotel</t>
  </si>
  <si>
    <t>Finance workshop</t>
  </si>
  <si>
    <t>Training/Development/Event</t>
  </si>
  <si>
    <t>London, UK</t>
  </si>
  <si>
    <t>T00214</t>
  </si>
  <si>
    <t>July</t>
  </si>
  <si>
    <t>E157</t>
  </si>
  <si>
    <t>Jeffrey Collins</t>
  </si>
  <si>
    <t>Marketing</t>
  </si>
  <si>
    <t>Breakfast</t>
  </si>
  <si>
    <t>Client meeting</t>
  </si>
  <si>
    <t>Client/Customer</t>
  </si>
  <si>
    <t>Review</t>
  </si>
  <si>
    <t>T00258</t>
  </si>
  <si>
    <t>E168</t>
  </si>
  <si>
    <t>Frank Cooper</t>
  </si>
  <si>
    <t>Engineering</t>
  </si>
  <si>
    <t>Taxi/Rideshare</t>
  </si>
  <si>
    <t>Personal Card</t>
  </si>
  <si>
    <t>Late return from client meeting</t>
  </si>
  <si>
    <t>Prague, Czech Republic</t>
  </si>
  <si>
    <t>T00010</t>
  </si>
  <si>
    <t>April</t>
  </si>
  <si>
    <t>E106</t>
  </si>
  <si>
    <t>Jennifer Garcia</t>
  </si>
  <si>
    <t>Operations</t>
  </si>
  <si>
    <t>Dinner</t>
  </si>
  <si>
    <t>T00152</t>
  </si>
  <si>
    <t>June</t>
  </si>
  <si>
    <t>E143</t>
  </si>
  <si>
    <t>Kevin Nelson</t>
  </si>
  <si>
    <t>Sales</t>
  </si>
  <si>
    <t>Lunch</t>
  </si>
  <si>
    <t>Customer workshop</t>
  </si>
  <si>
    <t>Amsterdam, Netherlands</t>
  </si>
  <si>
    <t>T00179</t>
  </si>
  <si>
    <t>E153</t>
  </si>
  <si>
    <t>Timothy Campbell</t>
  </si>
  <si>
    <t>HR</t>
  </si>
  <si>
    <t>Gdansk, Poland</t>
  </si>
  <si>
    <t>T00119</t>
  </si>
  <si>
    <t>August</t>
  </si>
  <si>
    <t>E135</t>
  </si>
  <si>
    <t>Paul Wright</t>
  </si>
  <si>
    <t>Team dinner</t>
  </si>
  <si>
    <t>Internal/Team</t>
  </si>
  <si>
    <t>Missing Receipt + Personal Card</t>
  </si>
  <si>
    <t>T00194</t>
  </si>
  <si>
    <t>December</t>
  </si>
  <si>
    <t>Project workshop</t>
  </si>
  <si>
    <t>Project/Business</t>
  </si>
  <si>
    <t>Krakow, Poland</t>
  </si>
  <si>
    <t>T00229</t>
  </si>
  <si>
    <t>Airfare</t>
  </si>
  <si>
    <t>Supplier meeting</t>
  </si>
  <si>
    <t>External Meeting</t>
  </si>
  <si>
    <t>Wroclaw, Poland</t>
  </si>
  <si>
    <t>T00061</t>
  </si>
  <si>
    <t>May</t>
  </si>
  <si>
    <t>E116</t>
  </si>
  <si>
    <t>Jessica Thomas</t>
  </si>
  <si>
    <t>Training</t>
  </si>
  <si>
    <t>T00296</t>
  </si>
  <si>
    <t>E170</t>
  </si>
  <si>
    <t>Raymond Cox</t>
  </si>
  <si>
    <t>T00065</t>
  </si>
  <si>
    <t>September</t>
  </si>
  <si>
    <t>Internal meeting</t>
  </si>
  <si>
    <t>T00012</t>
  </si>
  <si>
    <t>E107</t>
  </si>
  <si>
    <t>Michael Miller</t>
  </si>
  <si>
    <t>T00078</t>
  </si>
  <si>
    <t>E121</t>
  </si>
  <si>
    <t>Christopher Lee</t>
  </si>
  <si>
    <t>T00160</t>
  </si>
  <si>
    <t>T00220</t>
  </si>
  <si>
    <t>T00186</t>
  </si>
  <si>
    <t>November</t>
  </si>
  <si>
    <t>Policy Violation + Missing Receipt + Personal Card</t>
  </si>
  <si>
    <t>T00185</t>
  </si>
  <si>
    <t>March</t>
  </si>
  <si>
    <t>Conference attendance</t>
  </si>
  <si>
    <t>Vienna, Austria</t>
  </si>
  <si>
    <t>T00165</t>
  </si>
  <si>
    <t>Team lunch</t>
  </si>
  <si>
    <t>T00042</t>
  </si>
  <si>
    <t>E114</t>
  </si>
  <si>
    <t>Susan Wilson</t>
  </si>
  <si>
    <t>T00259</t>
  </si>
  <si>
    <t>Customer visit</t>
  </si>
  <si>
    <t>Hamburg, Germany</t>
  </si>
  <si>
    <t>T00025</t>
  </si>
  <si>
    <t>E111</t>
  </si>
  <si>
    <t>William Hernandez</t>
  </si>
  <si>
    <t>T00170</t>
  </si>
  <si>
    <t>E149</t>
  </si>
  <si>
    <t>Edward Carter</t>
  </si>
  <si>
    <t>T00161</t>
  </si>
  <si>
    <t>T00193</t>
  </si>
  <si>
    <t>T00297</t>
  </si>
  <si>
    <t>T00074</t>
  </si>
  <si>
    <t>Paris, France</t>
  </si>
  <si>
    <t>T00285</t>
  </si>
  <si>
    <t>T00153</t>
  </si>
  <si>
    <t>T00063</t>
  </si>
  <si>
    <t>Project milestone dinner</t>
  </si>
  <si>
    <t>T00263</t>
  </si>
  <si>
    <t>E169</t>
  </si>
  <si>
    <t>Helen Richardson</t>
  </si>
  <si>
    <t>T00132</t>
  </si>
  <si>
    <t>E140</t>
  </si>
  <si>
    <t>Michelle Flores</t>
  </si>
  <si>
    <t>Manchester, UK</t>
  </si>
  <si>
    <t>T00148</t>
  </si>
  <si>
    <t>January</t>
  </si>
  <si>
    <t>E142</t>
  </si>
  <si>
    <t>Amanda Adams</t>
  </si>
  <si>
    <t>T00092</t>
  </si>
  <si>
    <t>E123</t>
  </si>
  <si>
    <t>Daniel Thompson</t>
  </si>
  <si>
    <t>HR conference</t>
  </si>
  <si>
    <t>T00014</t>
  </si>
  <si>
    <t>Munich, Germany</t>
  </si>
  <si>
    <t>T00175</t>
  </si>
  <si>
    <t>T00001</t>
  </si>
  <si>
    <t>E103</t>
  </si>
  <si>
    <t>Robert Williams</t>
  </si>
  <si>
    <t>Travel between offices</t>
  </si>
  <si>
    <t>T00140</t>
  </si>
  <si>
    <t>E141</t>
  </si>
  <si>
    <t>Kenneth Green</t>
  </si>
  <si>
    <t>T00201</t>
  </si>
  <si>
    <t>Partner meeting</t>
  </si>
  <si>
    <t>T00236</t>
  </si>
  <si>
    <t>E159</t>
  </si>
  <si>
    <t>Ryan Sanchez</t>
  </si>
  <si>
    <t>Candidate dinner</t>
  </si>
  <si>
    <t>T00147</t>
  </si>
  <si>
    <t>T00031</t>
  </si>
  <si>
    <t>T00015</t>
  </si>
  <si>
    <t>E108</t>
  </si>
  <si>
    <t>Linda Davis</t>
  </si>
  <si>
    <t>T00127</t>
  </si>
  <si>
    <t>E138</t>
  </si>
  <si>
    <t>Donna Nguyen</t>
  </si>
  <si>
    <t>T00026</t>
  </si>
  <si>
    <t>T00228</t>
  </si>
  <si>
    <t>T00183</t>
  </si>
  <si>
    <t>Airport transfer</t>
  </si>
  <si>
    <t>T00122</t>
  </si>
  <si>
    <t>T00207</t>
  </si>
  <si>
    <t>T00249</t>
  </si>
  <si>
    <t>E163</t>
  </si>
  <si>
    <t>Gary Cook</t>
  </si>
  <si>
    <t>Frankfurt, Germany</t>
  </si>
  <si>
    <t>T00138</t>
  </si>
  <si>
    <t>T00034</t>
  </si>
  <si>
    <t>T00282</t>
  </si>
  <si>
    <t>T00248</t>
  </si>
  <si>
    <t>E161</t>
  </si>
  <si>
    <t>Jacob Rogers</t>
  </si>
  <si>
    <t>Sales visit</t>
  </si>
  <si>
    <t>T00101</t>
  </si>
  <si>
    <t>E125</t>
  </si>
  <si>
    <t>Matthew Harris</t>
  </si>
  <si>
    <t>Policy Violation + Personal Card</t>
  </si>
  <si>
    <t>T00188</t>
  </si>
  <si>
    <t>T00269</t>
  </si>
  <si>
    <t>Dublin, Ireland</t>
  </si>
  <si>
    <t>T00144</t>
  </si>
  <si>
    <t>T00246</t>
  </si>
  <si>
    <t>Client dinner</t>
  </si>
  <si>
    <t>T00250</t>
  </si>
  <si>
    <t>Travel to customer site</t>
  </si>
  <si>
    <t>T00206</t>
  </si>
  <si>
    <t>T00143</t>
  </si>
  <si>
    <t>HR workshop</t>
  </si>
  <si>
    <t>T00097</t>
  </si>
  <si>
    <t>T00048</t>
  </si>
  <si>
    <t>T00262</t>
  </si>
  <si>
    <t>T00213</t>
  </si>
  <si>
    <t>T00301</t>
  </si>
  <si>
    <t>E171</t>
  </si>
  <si>
    <t>Marie Howard</t>
  </si>
  <si>
    <t>Edinburgh, UK</t>
  </si>
  <si>
    <t>T00107</t>
  </si>
  <si>
    <t>E127</t>
  </si>
  <si>
    <t>Anthony Clark</t>
  </si>
  <si>
    <t>T00058</t>
  </si>
  <si>
    <t>E115</t>
  </si>
  <si>
    <t>Joseph Anderson</t>
  </si>
  <si>
    <t>Campaign planning dinner</t>
  </si>
  <si>
    <t>T00022</t>
  </si>
  <si>
    <t>E109</t>
  </si>
  <si>
    <t>David Rodriguez</t>
  </si>
  <si>
    <t>Agency dinner</t>
  </si>
  <si>
    <t>T00118</t>
  </si>
  <si>
    <t>E134</t>
  </si>
  <si>
    <t>Kimberly King</t>
  </si>
  <si>
    <t>Audit meeting</t>
  </si>
  <si>
    <t>T00113</t>
  </si>
  <si>
    <t>E133</t>
  </si>
  <si>
    <t>Steven Allen</t>
  </si>
  <si>
    <t>T00124</t>
  </si>
  <si>
    <t>E137</t>
  </si>
  <si>
    <t>Andrew Torres</t>
  </si>
  <si>
    <t>T00054</t>
  </si>
  <si>
    <t>T00208</t>
  </si>
  <si>
    <t>T00245</t>
  </si>
  <si>
    <t>T00135</t>
  </si>
  <si>
    <t>T00084</t>
  </si>
  <si>
    <t>E122</t>
  </si>
  <si>
    <t>Nancy Perez</t>
  </si>
  <si>
    <t>T00158</t>
  </si>
  <si>
    <t>T00227</t>
  </si>
  <si>
    <t>T00198</t>
  </si>
  <si>
    <t>T00205</t>
  </si>
  <si>
    <t>T00204</t>
  </si>
  <si>
    <t>Client visit</t>
  </si>
  <si>
    <t>T00137</t>
  </si>
  <si>
    <t>T00146</t>
  </si>
  <si>
    <t>T00021</t>
  </si>
  <si>
    <t>T00243</t>
  </si>
  <si>
    <t>T00276</t>
  </si>
  <si>
    <t>T00169</t>
  </si>
  <si>
    <t>T00039</t>
  </si>
  <si>
    <t>E113</t>
  </si>
  <si>
    <t>Richard Gonzalez</t>
  </si>
  <si>
    <t>Early client workshop</t>
  </si>
  <si>
    <t>T00095</t>
  </si>
  <si>
    <t>T00281</t>
  </si>
  <si>
    <t>T00253</t>
  </si>
  <si>
    <t>E167</t>
  </si>
  <si>
    <t>Eric Bailey</t>
  </si>
  <si>
    <t>T00027</t>
  </si>
  <si>
    <t>T00172</t>
  </si>
  <si>
    <t>E151</t>
  </si>
  <si>
    <t>Ronald Turner</t>
  </si>
  <si>
    <t>Campaign event</t>
  </si>
  <si>
    <t>T00109</t>
  </si>
  <si>
    <t>E130</t>
  </si>
  <si>
    <t>Sandra Robinson</t>
  </si>
  <si>
    <t>T00088</t>
  </si>
  <si>
    <t>T00242</t>
  </si>
  <si>
    <t>T00286</t>
  </si>
  <si>
    <t>Policy Violation + Missing Receipt</t>
  </si>
  <si>
    <t>T00159</t>
  </si>
  <si>
    <t>T00256</t>
  </si>
  <si>
    <t>T00225</t>
  </si>
  <si>
    <t>Agency workshop</t>
  </si>
  <si>
    <t>T00100</t>
  </si>
  <si>
    <t>T00294</t>
  </si>
  <si>
    <t>T00072</t>
  </si>
  <si>
    <t>T00255</t>
  </si>
  <si>
    <t>T00230</t>
  </si>
  <si>
    <t>T00173</t>
  </si>
  <si>
    <t>T00300</t>
  </si>
  <si>
    <t>T00062</t>
  </si>
  <si>
    <t>T00011</t>
  </si>
  <si>
    <t>T00050</t>
  </si>
  <si>
    <t>T00178</t>
  </si>
  <si>
    <t>T00284</t>
  </si>
  <si>
    <t>T00247</t>
  </si>
  <si>
    <t>T00226</t>
  </si>
  <si>
    <t>T00038</t>
  </si>
  <si>
    <t>E112</t>
  </si>
  <si>
    <t>Barbara Lopez</t>
  </si>
  <si>
    <t>T00131</t>
  </si>
  <si>
    <t>E139</t>
  </si>
  <si>
    <t>Joshua Hill</t>
  </si>
  <si>
    <t>Agency meeting</t>
  </si>
  <si>
    <t>T00036</t>
  </si>
  <si>
    <t>T00235</t>
  </si>
  <si>
    <t>T00232</t>
  </si>
  <si>
    <t>T00115</t>
  </si>
  <si>
    <t>T00089</t>
  </si>
  <si>
    <t>T00126</t>
  </si>
  <si>
    <t>T00224</t>
  </si>
  <si>
    <t>T00043</t>
  </si>
  <si>
    <t>T00261</t>
  </si>
  <si>
    <t>T00164</t>
  </si>
  <si>
    <t>E144</t>
  </si>
  <si>
    <t>Melissa Baker</t>
  </si>
  <si>
    <t>T00005</t>
  </si>
  <si>
    <t>T00098</t>
  </si>
  <si>
    <t>T00028</t>
  </si>
  <si>
    <t>T00187</t>
  </si>
  <si>
    <t>T00116</t>
  </si>
  <si>
    <t>T00192</t>
  </si>
  <si>
    <t>T00079</t>
  </si>
  <si>
    <t>T00273</t>
  </si>
  <si>
    <t>T00082</t>
  </si>
  <si>
    <t>T00145</t>
  </si>
  <si>
    <t>T00047</t>
  </si>
  <si>
    <t>T00060</t>
  </si>
  <si>
    <t>T00096</t>
  </si>
  <si>
    <t>T00267</t>
  </si>
  <si>
    <t>T00240</t>
  </si>
  <si>
    <t>T00017</t>
  </si>
  <si>
    <t>T00233</t>
  </si>
  <si>
    <t>T00093</t>
  </si>
  <si>
    <t>T00295</t>
  </si>
  <si>
    <t>T00292</t>
  </si>
  <si>
    <t>T00102</t>
  </si>
  <si>
    <t>E126</t>
  </si>
  <si>
    <t>Betty Sanchez</t>
  </si>
  <si>
    <t>T00105</t>
  </si>
  <si>
    <t>T00111</t>
  </si>
  <si>
    <t>T00046</t>
  </si>
  <si>
    <t>T00288</t>
  </si>
  <si>
    <t>T00136</t>
  </si>
  <si>
    <t>T00035</t>
  </si>
  <si>
    <t>T00013</t>
  </si>
  <si>
    <t>T00083</t>
  </si>
  <si>
    <t>T00162</t>
  </si>
  <si>
    <t>T00199</t>
  </si>
  <si>
    <t>T00002</t>
  </si>
  <si>
    <t>T00196</t>
  </si>
  <si>
    <t>T00029</t>
  </si>
  <si>
    <t>T00037</t>
  </si>
  <si>
    <t>T00130</t>
  </si>
  <si>
    <t>T00252</t>
  </si>
  <si>
    <t>T00121</t>
  </si>
  <si>
    <t>T00222</t>
  </si>
  <si>
    <t>T00019</t>
  </si>
  <si>
    <t>T00057</t>
  </si>
  <si>
    <t>T00051</t>
  </si>
  <si>
    <t>T00278</t>
  </si>
  <si>
    <t>T00289</t>
  </si>
  <si>
    <t>T00241</t>
  </si>
  <si>
    <t>T00270</t>
  </si>
  <si>
    <t>T00238</t>
  </si>
  <si>
    <t>T00237</t>
  </si>
  <si>
    <t>T00090</t>
  </si>
  <si>
    <t>T00032</t>
  </si>
  <si>
    <t>T00280</t>
  </si>
  <si>
    <t>T00200</t>
  </si>
  <si>
    <t>T00128</t>
  </si>
  <si>
    <t>T00265</t>
  </si>
  <si>
    <t>T00066</t>
  </si>
  <si>
    <t>E117</t>
  </si>
  <si>
    <t>Thomas Taylor</t>
  </si>
  <si>
    <t>T00154</t>
  </si>
  <si>
    <t>T00211</t>
  </si>
  <si>
    <t>T00080</t>
  </si>
  <si>
    <t>T00177</t>
  </si>
  <si>
    <t>T00176</t>
  </si>
  <si>
    <t>T00139</t>
  </si>
  <si>
    <t>T00271</t>
  </si>
  <si>
    <t>T00125</t>
  </si>
  <si>
    <t>Prospect meeting</t>
  </si>
  <si>
    <t>T00244</t>
  </si>
  <si>
    <t>E160</t>
  </si>
  <si>
    <t>Brenda Morris</t>
  </si>
  <si>
    <t>T00045</t>
  </si>
  <si>
    <t>T00279</t>
  </si>
  <si>
    <t>T00071</t>
  </si>
  <si>
    <t>T00283</t>
  </si>
  <si>
    <t>T00085</t>
  </si>
  <si>
    <t>T00040</t>
  </si>
  <si>
    <t>T00221</t>
  </si>
  <si>
    <t>T00070</t>
  </si>
  <si>
    <t>T00009</t>
  </si>
  <si>
    <t>T00006</t>
  </si>
  <si>
    <t>E105</t>
  </si>
  <si>
    <t>John Jones</t>
  </si>
  <si>
    <t>T00231</t>
  </si>
  <si>
    <t>T00087</t>
  </si>
  <si>
    <t>T00142</t>
  </si>
  <si>
    <t>T00008</t>
  </si>
  <si>
    <t>T00266</t>
  </si>
  <si>
    <t>T00004</t>
  </si>
  <si>
    <t>T00134</t>
  </si>
  <si>
    <t>T00030</t>
  </si>
  <si>
    <t>T00023</t>
  </si>
  <si>
    <t>T00254</t>
  </si>
  <si>
    <t>T00184</t>
  </si>
  <si>
    <t>T00103</t>
  </si>
  <si>
    <t>T00094</t>
  </si>
  <si>
    <t>T00257</t>
  </si>
  <si>
    <t>T00203</t>
  </si>
  <si>
    <t>T00053</t>
  </si>
  <si>
    <t>T00003</t>
  </si>
  <si>
    <t>T00033</t>
  </si>
  <si>
    <t>T00291</t>
  </si>
  <si>
    <t>T00216</t>
  </si>
  <si>
    <t>T00056</t>
  </si>
  <si>
    <t>T00076</t>
  </si>
  <si>
    <t>T00007</t>
  </si>
  <si>
    <t>T00210</t>
  </si>
  <si>
    <t>T00068</t>
  </si>
  <si>
    <t>T00123</t>
  </si>
  <si>
    <t>T00064</t>
  </si>
  <si>
    <t>T00024</t>
  </si>
  <si>
    <t>T00151</t>
  </si>
  <si>
    <t>T00212</t>
  </si>
  <si>
    <t>T00069</t>
  </si>
  <si>
    <t>E119</t>
  </si>
  <si>
    <t>Charles Jackson</t>
  </si>
  <si>
    <t>T00274</t>
  </si>
  <si>
    <t>T00191</t>
  </si>
  <si>
    <t>T00217</t>
  </si>
  <si>
    <t>T00099</t>
  </si>
  <si>
    <t>E124</t>
  </si>
  <si>
    <t>Lisa White</t>
  </si>
  <si>
    <t>T00195</t>
  </si>
  <si>
    <t>T00120</t>
  </si>
  <si>
    <t>T00114</t>
  </si>
  <si>
    <t>T00182</t>
  </si>
  <si>
    <t>T00041</t>
  </si>
  <si>
    <t>T00287</t>
  </si>
  <si>
    <t>T00290</t>
  </si>
  <si>
    <t>T00052</t>
  </si>
  <si>
    <t>T00157</t>
  </si>
  <si>
    <t>T00016</t>
  </si>
  <si>
    <t>T00275</t>
  </si>
  <si>
    <t>T00155</t>
  </si>
  <si>
    <t>T00091</t>
  </si>
  <si>
    <t>T00264</t>
  </si>
  <si>
    <t>T00209</t>
  </si>
  <si>
    <t>T00218</t>
  </si>
  <si>
    <t>T00141</t>
  </si>
  <si>
    <t>T00020</t>
  </si>
  <si>
    <t>T00055</t>
  </si>
  <si>
    <t>T00104</t>
  </si>
  <si>
    <t>T00202</t>
  </si>
  <si>
    <t>T00215</t>
  </si>
  <si>
    <t>T00174</t>
  </si>
  <si>
    <t>T00223</t>
  </si>
  <si>
    <t>T00171</t>
  </si>
  <si>
    <t>T00110</t>
  </si>
  <si>
    <t>T00302</t>
  </si>
  <si>
    <t>T00156</t>
  </si>
  <si>
    <t>T00073</t>
  </si>
  <si>
    <t>T00299</t>
  </si>
  <si>
    <t>T00190</t>
  </si>
  <si>
    <t>T00219</t>
  </si>
  <si>
    <t>T00129</t>
  </si>
  <si>
    <t>T00112</t>
  </si>
  <si>
    <t>E132</t>
  </si>
  <si>
    <t>Ashley Young</t>
  </si>
  <si>
    <t>T00075</t>
  </si>
  <si>
    <t>T00189</t>
  </si>
  <si>
    <t>T00117</t>
  </si>
  <si>
    <t>T00049</t>
  </si>
  <si>
    <t>T00133</t>
  </si>
  <si>
    <t>T00086</t>
  </si>
  <si>
    <t>T00018</t>
  </si>
  <si>
    <t>T00180</t>
  </si>
  <si>
    <t>T00081</t>
  </si>
  <si>
    <t>T00293</t>
  </si>
  <si>
    <t>T00150</t>
  </si>
  <si>
    <t>T00197</t>
  </si>
  <si>
    <t>T00067</t>
  </si>
  <si>
    <t>T00166</t>
  </si>
  <si>
    <t>T00044</t>
  </si>
  <si>
    <t>T00251</t>
  </si>
  <si>
    <t>T00298</t>
  </si>
  <si>
    <t>T00149</t>
  </si>
  <si>
    <t>Supplier visit</t>
  </si>
  <si>
    <t>T00272</t>
  </si>
  <si>
    <t>T00077</t>
  </si>
  <si>
    <t>T00239</t>
  </si>
  <si>
    <t>T00268</t>
  </si>
  <si>
    <t>T00108</t>
  </si>
  <si>
    <t>T00260</t>
  </si>
  <si>
    <t>T00168</t>
  </si>
  <si>
    <t>T00181</t>
  </si>
  <si>
    <t>T00277</t>
  </si>
  <si>
    <t>T00163</t>
  </si>
  <si>
    <t>T00059</t>
  </si>
  <si>
    <t>T00106</t>
  </si>
  <si>
    <t>Grand Total</t>
  </si>
  <si>
    <t>Transactions</t>
  </si>
  <si>
    <t>Avg. Transaction</t>
  </si>
  <si>
    <t>Violations</t>
  </si>
  <si>
    <t>2025-10</t>
  </si>
  <si>
    <t>2025-02</t>
  </si>
  <si>
    <t>2025-07</t>
  </si>
  <si>
    <t>2025-04</t>
  </si>
  <si>
    <t>2025-06</t>
  </si>
  <si>
    <t>2025-08</t>
  </si>
  <si>
    <t>2025-12</t>
  </si>
  <si>
    <t>2025-05</t>
  </si>
  <si>
    <t>2025-09</t>
  </si>
  <si>
    <t>2025-11</t>
  </si>
  <si>
    <t>2025-03</t>
  </si>
  <si>
    <t>2025-01</t>
  </si>
  <si>
    <t>Violation Rate</t>
  </si>
  <si>
    <t>Spend Share</t>
  </si>
  <si>
    <t>Departments</t>
  </si>
  <si>
    <t>Avg. Transaction Spend</t>
  </si>
  <si>
    <t xml:space="preserve">Department </t>
  </si>
  <si>
    <t xml:space="preserve">Violations </t>
  </si>
  <si>
    <t xml:space="preserve">Violation Rate </t>
  </si>
  <si>
    <t>Personal Card Rate</t>
  </si>
  <si>
    <t xml:space="preserve">Personal Card Spend </t>
  </si>
  <si>
    <t>Missing Receipt Rate</t>
  </si>
  <si>
    <t xml:space="preserve">Missing Receipt Spend </t>
  </si>
  <si>
    <t xml:space="preserve">Missing Receipts </t>
  </si>
  <si>
    <t xml:space="preserve">Share </t>
  </si>
  <si>
    <t xml:space="preserve">Personal Card Transactions </t>
  </si>
  <si>
    <t xml:space="preserve">Personal Card Rate </t>
  </si>
  <si>
    <t>Spend Analysis</t>
  </si>
  <si>
    <t>Compliance Analysis</t>
  </si>
  <si>
    <t>Employee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</si>
</sst>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USD]_-;\-* #,##0.00\ [$USD]_-;_-* &quot;-&quot;??\ [$USD]_-;_-@_-"/>
    <numFmt numFmtId="165" formatCode="_-* #,##0\ [$USD]_-;\-* #,##0\ [$USD]_-;_-* &quot;-&quot;??\ [$USD]_-;_-@_-"/>
  </numFmts>
  <fonts count="5" x14ac:knownFonts="1">
    <font>
      <sz val="11"/>
      <color theme="1"/>
      <name val="Calibri"/>
      <family val="2"/>
      <scheme val="minor"/>
    </font>
    <font>
      <b/>
      <sz val="11"/>
      <color theme="1"/>
      <name val="Calibri"/>
      <family val="2"/>
      <charset val="238"/>
      <scheme val="minor"/>
    </font>
    <font>
      <sz val="11"/>
      <color theme="1"/>
      <name val="Calibri"/>
      <family val="2"/>
      <scheme val="minor"/>
    </font>
    <font>
      <sz val="8"/>
      <name val="Calibri"/>
      <family val="2"/>
      <scheme val="minor"/>
    </font>
    <font>
      <b/>
      <sz val="20"/>
      <color theme="1"/>
      <name val="Calibri"/>
      <family val="2"/>
      <charset val="238"/>
      <scheme val="minor"/>
    </font>
  </fonts>
  <fills count="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0">
    <xf numFmtId="0" fontId="0" fillId="0" borderId="0" xfId="0"/>
    <xf numFmtId="0" fontId="1" fillId="0" borderId="0" xfId="0" applyFont="1"/>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1" applyNumberFormat="1" applyFont="1"/>
    <xf numFmtId="10" fontId="1" fillId="0" borderId="0" xfId="1" applyNumberFormat="1" applyFont="1"/>
    <xf numFmtId="10" fontId="0" fillId="0" borderId="0" xfId="0" applyNumberFormat="1"/>
    <xf numFmtId="14" fontId="0" fillId="0" borderId="0" xfId="0" applyNumberFormat="1" applyAlignment="1">
      <alignment horizontal="left"/>
    </xf>
    <xf numFmtId="165" fontId="0" fillId="0" borderId="0" xfId="0" applyNumberFormat="1"/>
    <xf numFmtId="0" fontId="4" fillId="2" borderId="0" xfId="0" applyFont="1" applyFill="1"/>
    <xf numFmtId="0" fontId="0" fillId="2" borderId="0" xfId="0" applyFill="1"/>
    <xf numFmtId="0" fontId="4" fillId="3" borderId="0" xfId="0" applyFont="1" applyFill="1"/>
    <xf numFmtId="0" fontId="0" fillId="3" borderId="0" xfId="0" applyFill="1"/>
    <xf numFmtId="0" fontId="4" fillId="4" borderId="0" xfId="0" applyFont="1" applyFill="1"/>
    <xf numFmtId="0" fontId="0" fillId="4" borderId="0" xfId="0" applyFill="1"/>
    <xf numFmtId="0" fontId="4" fillId="5" borderId="0" xfId="0" applyFont="1" applyFill="1"/>
    <xf numFmtId="0" fontId="0" fillId="5" borderId="0" xfId="0" applyFill="1"/>
  </cellXfs>
  <cellStyles count="2">
    <cellStyle name="Normal" xfId="0" builtinId="0"/>
    <cellStyle name="Per cent" xfId="1" builtinId="5"/>
  </cellStyles>
  <dxfs count="66">
    <dxf>
      <numFmt numFmtId="164" formatCode="_-* #,##0.00\ [$USD]_-;\-* #,##0.00\ [$USD]_-;_-* &quot;-&quot;??\ [$USD]_-;_-@_-"/>
    </dxf>
    <dxf>
      <numFmt numFmtId="164" formatCode="_-* #,##0.00\ [$USD]_-;\-* #,##0.00\ [$USD]_-;_-* &quot;-&quot;??\ [$USD]_-;_-@_-"/>
    </dxf>
    <dxf>
      <numFmt numFmtId="14" formatCode="0.00%"/>
    </dxf>
    <dxf>
      <numFmt numFmtId="14" formatCode="0.00%"/>
    </dxf>
    <dxf>
      <numFmt numFmtId="14" formatCode="0.00%"/>
    </dxf>
    <dxf>
      <numFmt numFmtId="164" formatCode="_-* #,##0.00\ [$USD]_-;\-* #,##0.00\ [$USD]_-;_-* &quot;-&quot;??\ [$USD]_-;_-@_-"/>
    </dxf>
    <dxf>
      <numFmt numFmtId="164" formatCode="_-* #,##0.00\ [$USD]_-;\-* #,##0.00\ [$USD]_-;_-* &quot;-&quot;??\ [$USD]_-;_-@_-"/>
    </dxf>
    <dxf>
      <numFmt numFmtId="164" formatCode="_-* #,##0.00\ [$USD]_-;\-* #,##0.00\ [$USD]_-;_-* &quot;-&quot;??\ [$USD]_-;_-@_-"/>
    </dxf>
    <dxf>
      <numFmt numFmtId="164" formatCode="_-* #,##0.00\ [$USD]_-;\-* #,##0.00\ [$USD]_-;_-* &quot;-&quot;??\ [$USD]_-;_-@_-"/>
    </dxf>
    <dxf>
      <numFmt numFmtId="164" formatCode="_-* #,##0.00\ [$USD]_-;\-* #,##0.00\ [$USD]_-;_-* &quot;-&quot;??\ [$USD]_-;_-@_-"/>
    </dxf>
    <dxf>
      <numFmt numFmtId="165" formatCode="_-* #,##0\ [$USD]_-;\-* #,##0\ [$USD]_-;_-* &quot;-&quot;??\ [$USD]_-;_-@_-"/>
    </dxf>
    <dxf>
      <numFmt numFmtId="164" formatCode="_-* #,##0.00\ [$USD]_-;\-* #,##0.00\ [$USD]_-;_-* &quot;-&quot;??\ [$USD]_-;_-@_-"/>
    </dxf>
    <dxf>
      <numFmt numFmtId="165" formatCode="_-* #,##0\ [$USD]_-;\-* #,##0\ [$USD]_-;_-* &quot;-&quot;??\ [$USD]_-;_-@_-"/>
    </dxf>
    <dxf>
      <numFmt numFmtId="164" formatCode="_-* #,##0.00\ [$USD]_-;\-* #,##0.00\ [$USD]_-;_-* &quot;-&quot;??\ [$USD]_-;_-@_-"/>
    </dxf>
    <dxf>
      <numFmt numFmtId="0" formatCode="General"/>
    </dxf>
    <dxf>
      <numFmt numFmtId="164" formatCode="_-* #,##0.00\ [$USD]_-;\-* #,##0.00\ [$USD]_-;_-* &quot;-&quot;??\ [$USD]_-;_-@_-"/>
    </dxf>
    <dxf>
      <numFmt numFmtId="164" formatCode="_-* #,##0.00\ [$USD]_-;\-* #,##0.00\ [$USD]_-;_-* &quot;-&quot;??\ [$USD]_-;_-@_-"/>
    </dxf>
    <dxf>
      <numFmt numFmtId="164" formatCode="_-* #,##0.00\ [$USD]_-;\-* #,##0.00\ [$USD]_-;_-* &quot;-&quot;??\ [$USD]_-;_-@_-"/>
    </dxf>
    <dxf>
      <numFmt numFmtId="164" formatCode="_-* #,##0.00\ [$USD]_-;\-* #,##0.00\ [$USD]_-;_-* &quot;-&quot;??\ [$USD]_-;_-@_-"/>
    </dxf>
    <dxf>
      <numFmt numFmtId="164" formatCode="_-* #,##0.00\ [$USD]_-;\-* #,##0.00\ [$USD]_-;_-* &quot;-&quot;??\ [$USD]_-;_-@_-"/>
    </dxf>
    <dxf>
      <numFmt numFmtId="164" formatCode="_-* #,##0.00\ [$USD]_-;\-* #,##0.00\ [$USD]_-;_-* &quot;-&quot;??\ [$USD]_-;_-@_-"/>
    </dxf>
    <dxf>
      <numFmt numFmtId="14" formatCode="0.00%"/>
    </dxf>
    <dxf>
      <numFmt numFmtId="164" formatCode="_-* #,##0.00\ [$USD]_-;\-* #,##0.00\ [$USD]_-;_-* &quot;-&quot;??\ [$USD]_-;_-@_-"/>
    </dxf>
    <dxf>
      <numFmt numFmtId="164" formatCode="_-* #,##0.00\ [$USD]_-;\-* #,##0.00\ [$USD]_-;_-* &quot;-&quot;??\ [$USD]_-;_-@_-"/>
    </dxf>
    <dxf>
      <numFmt numFmtId="164" formatCode="_-* #,##0.00\ [$USD]_-;\-* #,##0.00\ [$USD]_-;_-* &quot;-&quot;??\ [$USD]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14" formatCode="0.00%"/>
    </dxf>
    <dxf>
      <numFmt numFmtId="14" formatCode="0.00%"/>
    </dxf>
    <dxf>
      <numFmt numFmtId="14" formatCode="0.00%"/>
    </dxf>
    <dxf>
      <numFmt numFmtId="164" formatCode="_-* #,##0.00\ [$USD]_-;\-* #,##0.00\ [$USD]_-;_-* &quot;-&quot;??\ [$USD]_-;_-@_-"/>
    </dxf>
    <dxf>
      <numFmt numFmtId="164" formatCode="_-* #,##0.00\ [$USD]_-;\-* #,##0.00\ [$USD]_-;_-* &quot;-&quot;??\ [$USD]_-;_-@_-"/>
    </dxf>
    <dxf>
      <numFmt numFmtId="14" formatCode="0.00%"/>
    </dxf>
    <dxf>
      <numFmt numFmtId="14" formatCode="0.00%"/>
    </dxf>
    <dxf>
      <numFmt numFmtId="0" formatCode="General"/>
    </dxf>
    <dxf>
      <numFmt numFmtId="164" formatCode="_-* #,##0.00\ [$USD]_-;\-* #,##0.00\ [$USD]_-;_-* &quot;-&quot;??\ [$USD]_-;_-@_-"/>
    </dxf>
    <dxf>
      <numFmt numFmtId="164" formatCode="_-* #,##0.00\ [$USD]_-;\-* #,##0.00\ [$USD]_-;_-* &quot;-&quot;??\ [$USD]_-;_-@_-"/>
    </dxf>
    <dxf>
      <numFmt numFmtId="164" formatCode="_-* #,##0.00\ [$USD]_-;\-* #,##0.00\ [$USD]_-;_-* &quot;-&quot;??\ [$USD]_-;_-@_-"/>
    </dxf>
    <dxf>
      <numFmt numFmtId="14" formatCode="0.00%"/>
    </dxf>
    <dxf>
      <numFmt numFmtId="14" formatCode="0.00%"/>
    </dxf>
    <dxf>
      <numFmt numFmtId="14" formatCode="0.00%"/>
    </dxf>
    <dxf>
      <numFmt numFmtId="14" formatCode="0.00%"/>
    </dxf>
    <dxf>
      <numFmt numFmtId="0" formatCode="General"/>
    </dxf>
    <dxf>
      <numFmt numFmtId="164" formatCode="_-* #,##0.00\ [$USD]_-;\-* #,##0.00\ [$USD]_-;_-* &quot;-&quot;??\ [$USD]_-;_-@_-"/>
    </dxf>
    <dxf>
      <numFmt numFmtId="164" formatCode="_-* #,##0.00\ [$USD]_-;\-* #,##0.00\ [$USD]_-;_-* &quot;-&quot;??\ [$USD]_-;_-@_-"/>
    </dxf>
    <dxf>
      <numFmt numFmtId="164" formatCode="_-* #,##0.00\ [$USD]_-;\-* #,##0.00\ [$USD]_-;_-* &quot;-&quot;??\ [$USD]_-;_-@_-"/>
    </dxf>
    <dxf>
      <numFmt numFmtId="164" formatCode="_-* #,##0.00\ [$USD]_-;\-* #,##0.00\ [$USD]_-;_-* &quot;-&quot;??\ [$USD]_-;_-@_-"/>
    </dxf>
    <dxf>
      <numFmt numFmtId="14" formatCode="0.00%"/>
    </dxf>
    <dxf>
      <numFmt numFmtId="164" formatCode="_-* #,##0.00\ [$USD]_-;\-* #,##0.00\ [$USD]_-;_-* &quot;-&quot;??\ [$USD]_-;_-@_-"/>
    </dxf>
    <dxf>
      <numFmt numFmtId="164" formatCode="_-* #,##0.00\ [$USD]_-;\-* #,##0.00\ [$USD]_-;_-* &quot;-&quot;??\ [$USD]_-;_-@_-"/>
    </dxf>
    <dxf>
      <numFmt numFmtId="164" formatCode="_-* #,##0.00\ [$USD]_-;\-* #,##0.00\ [$USD]_-;_-* &quot;-&quot;??\ [$USD]_-;_-@_-"/>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[TE_Analysis.xlsx]Spend Analysis!PivotTable8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baseline="0"/>
              <a:t>Monthly T&amp;E Spend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'Spend Analysis'!$H$37</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'Spend Analysis'!$G$38:$G$50</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'Spend Analysis'!$H$38:$H$50</c:f>
              <c:numCache>
                <c:formatCode>_-* #\ ##0\ [$USD]_-;\-* #\ ##0\ [$USD]_-;_-* "-"??\ [$USD]_-;_-@_-</c:formatCode>
                <c:ptCount val="12"/>
                <c:pt idx="0">
                  <c:v>6069.4800000000005</c:v>
                </c:pt>
                <c:pt idx="1">
                  <c:v>5459.62</c:v>
                </c:pt>
                <c:pt idx="2">
                  <c:v>6239.97</c:v>
                </c:pt>
                <c:pt idx="3">
                  <c:v>4851</c:v>
                </c:pt>
                <c:pt idx="4">
                  <c:v>5656.4800000000005</c:v>
                </c:pt>
                <c:pt idx="5">
                  <c:v>4302.76</c:v>
                </c:pt>
                <c:pt idx="6">
                  <c:v>7832.03</c:v>
                </c:pt>
                <c:pt idx="7">
                  <c:v>7366.5499999999993</c:v>
                </c:pt>
                <c:pt idx="8">
                  <c:v>4521.6799999999994</c:v>
                </c:pt>
                <c:pt idx="9">
                  <c:v>5696.0599999999995</c:v>
                </c:pt>
                <c:pt idx="10">
                  <c:v>5229.6400000000003</c:v>
                </c:pt>
                <c:pt idx="11">
                  <c:v>2862.45</c:v>
                </c:pt>
              </c:numCache>
            </c:numRef>
          </c:val>
          <c:smooth val="0"/>
          <c:extLst>
            <c:ext xmlns:c16="http://schemas.microsoft.com/office/drawing/2014/chart" uri="{C3380CC4-5D6E-409C-BE32-E72D297353CC}">
              <c16:uniqueId val="{00000000-998D-4E45-9425-0075A4457925}"/>
            </c:ext>
          </c:extLst>
        </c:ser>
        <c:dLbls>
          <c:showLegendKey val="0"/>
          <c:showVal val="0"/>
          <c:showCatName val="0"/>
          <c:showSerName val="0"/>
          <c:showPercent val="0"/>
          <c:showBubbleSize val="0"/>
        </c:dLbls>
        <c:marker val="1"/>
        <c:smooth val="0"/>
        <c:axId val="404254240"/>
        <c:axId val="439120528"/>
      </c:lineChart>
      <c:catAx>
        <c:axId val="40425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39120528"/>
        <c:crosses val="autoZero"/>
        <c:auto val="1"/>
        <c:lblAlgn val="ctr"/>
        <c:lblOffset val="100"/>
        <c:noMultiLvlLbl val="0"/>
      </c:catAx>
      <c:valAx>
        <c:axId val="439120528"/>
        <c:scaling>
          <c:orientation val="minMax"/>
        </c:scaling>
        <c:delete val="0"/>
        <c:axPos val="l"/>
        <c:majorGridlines>
          <c:spPr>
            <a:ln w="9525" cap="flat" cmpd="sng" algn="ctr">
              <a:solidFill>
                <a:schemeClr val="tx1">
                  <a:lumMod val="15000"/>
                  <a:lumOff val="85000"/>
                </a:schemeClr>
              </a:solidFill>
              <a:round/>
            </a:ln>
            <a:effectLst/>
          </c:spPr>
        </c:majorGridlines>
        <c:numFmt formatCode="_-* #\ ##0\ [$USD]_-;\-* #\ ##0\ [$USD]_-;_-* &quot;-&quot;??\ [$USD]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042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[TE_Analysis.xlsx]Spend 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Category T&amp;E Spend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'Spend Analysis'!$H$3</c:f>
              <c:strCache>
                <c:ptCount val="1"/>
                <c:pt idx="0">
                  <c:v>Total</c:v>
                </c:pt>
              </c:strCache>
            </c:strRef>
          </c:tx>
          <c:spPr>
            <a:solidFill>
              <a:schemeClr val="accent6"/>
            </a:solidFill>
            <a:ln>
              <a:noFill/>
            </a:ln>
            <a:effectLst/>
          </c:spPr>
          <c:invertIfNegative val="0"/>
          <c:cat>
            <c:strRef>
              <c:f>'Spend Analysis'!$G$4:$G$11</c:f>
              <c:strCache>
                <c:ptCount val="7"/>
                <c:pt idx="0">
                  <c:v>Airfare</c:v>
                </c:pt>
                <c:pt idx="1">
                  <c:v>Hotel</c:v>
                </c:pt>
                <c:pt idx="2">
                  <c:v>Dinner</c:v>
                </c:pt>
                <c:pt idx="3">
                  <c:v>Train</c:v>
                </c:pt>
                <c:pt idx="4">
                  <c:v>Lunch</c:v>
                </c:pt>
                <c:pt idx="5">
                  <c:v>Taxi/Rideshare</c:v>
                </c:pt>
                <c:pt idx="6">
                  <c:v>Breakfast</c:v>
                </c:pt>
              </c:strCache>
            </c:strRef>
          </c:cat>
          <c:val>
            <c:numRef>
              <c:f>'Spend Analysis'!$H$4:$H$11</c:f>
              <c:numCache>
                <c:formatCode>_-* #\ ##0\ [$USD]_-;\-* #\ ##0\ [$USD]_-;_-* "-"??\ [$USD]_-;_-@_-</c:formatCode>
                <c:ptCount val="7"/>
                <c:pt idx="0">
                  <c:v>44222.74000000002</c:v>
                </c:pt>
                <c:pt idx="1">
                  <c:v>10777.5</c:v>
                </c:pt>
                <c:pt idx="2">
                  <c:v>3565.61</c:v>
                </c:pt>
                <c:pt idx="3">
                  <c:v>3471.4999999999991</c:v>
                </c:pt>
                <c:pt idx="4">
                  <c:v>2076.37</c:v>
                </c:pt>
                <c:pt idx="5">
                  <c:v>1518.7700000000002</c:v>
                </c:pt>
                <c:pt idx="6">
                  <c:v>455.23</c:v>
                </c:pt>
              </c:numCache>
            </c:numRef>
          </c:val>
          <c:extLst>
            <c:ext xmlns:c16="http://schemas.microsoft.com/office/drawing/2014/chart" uri="{C3380CC4-5D6E-409C-BE32-E72D297353CC}">
              <c16:uniqueId val="{00000000-5025-4CCA-85A9-2998CECD783D}"/>
            </c:ext>
          </c:extLst>
        </c:ser>
        <c:dLbls>
          <c:showLegendKey val="0"/>
          <c:showVal val="0"/>
          <c:showCatName val="0"/>
          <c:showSerName val="0"/>
          <c:showPercent val="0"/>
          <c:showBubbleSize val="0"/>
        </c:dLbls>
        <c:gapWidth val="182"/>
        <c:axId val="197993167"/>
        <c:axId val="439241968"/>
      </c:barChart>
      <c:catAx>
        <c:axId val="19799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39241968"/>
        <c:crosses val="autoZero"/>
        <c:auto val="1"/>
        <c:lblAlgn val="ctr"/>
        <c:lblOffset val="100"/>
        <c:noMultiLvlLbl val="0"/>
      </c:catAx>
      <c:valAx>
        <c:axId val="439241968"/>
        <c:scaling>
          <c:orientation val="minMax"/>
        </c:scaling>
        <c:delete val="0"/>
        <c:axPos val="b"/>
        <c:majorGridlines>
          <c:spPr>
            <a:ln w="9525" cap="flat" cmpd="sng" algn="ctr">
              <a:solidFill>
                <a:schemeClr val="tx1">
                  <a:lumMod val="15000"/>
                  <a:lumOff val="85000"/>
                </a:schemeClr>
              </a:solidFill>
              <a:round/>
            </a:ln>
            <a:effectLst/>
          </c:spPr>
        </c:majorGridlines>
        <c:numFmt formatCode="_-* #\ ##0\ [$USD]_-;\-* #\ ##0\ [$USD]_-;_-* &quot;-&quot;??\ [$USD]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9799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[TE_Analysis.xlsx]Compliance Analysis!PivotTable18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baseline="0"/>
              <a:t>Monthly T&amp;E Compliance Rates</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'Compliance Analysis'!$K$59</c:f>
              <c:strCache>
                <c:ptCount val="1"/>
                <c:pt idx="0">
                  <c:v>Violation 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'Compliance Analysis'!$J$60:$J$72</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'Compliance Analysis'!$K$60:$K$72</c:f>
              <c:numCache>
                <c:formatCode>0.00%</c:formatCode>
                <c:ptCount val="12"/>
                <c:pt idx="0">
                  <c:v>0.47368421052631576</c:v>
                </c:pt>
                <c:pt idx="1">
                  <c:v>0.21052631578947367</c:v>
                </c:pt>
                <c:pt idx="2">
                  <c:v>0.3235294117647059</c:v>
                </c:pt>
                <c:pt idx="3">
                  <c:v>0.38461538461538464</c:v>
                </c:pt>
                <c:pt idx="4">
                  <c:v>0.31034482758620691</c:v>
                </c:pt>
                <c:pt idx="5">
                  <c:v>0.2857142857142857</c:v>
                </c:pt>
                <c:pt idx="6">
                  <c:v>0.27586206896551724</c:v>
                </c:pt>
                <c:pt idx="7">
                  <c:v>0.32142857142857145</c:v>
                </c:pt>
                <c:pt idx="8">
                  <c:v>0.14814814814814814</c:v>
                </c:pt>
                <c:pt idx="9">
                  <c:v>0.22222222222222221</c:v>
                </c:pt>
                <c:pt idx="10">
                  <c:v>0.10714285714285714</c:v>
                </c:pt>
                <c:pt idx="11">
                  <c:v>0.33333333333333331</c:v>
                </c:pt>
              </c:numCache>
            </c:numRef>
          </c:val>
          <c:smooth val="0"/>
          <c:extLst>
            <c:ext xmlns:c16="http://schemas.microsoft.com/office/drawing/2014/chart" uri="{C3380CC4-5D6E-409C-BE32-E72D297353CC}">
              <c16:uniqueId val="{00000000-30D7-4C35-B3AF-8DC8195D8B48}"/>
            </c:ext>
          </c:extLst>
        </c:ser>
        <c:ser>
          <c:idx val="1"/>
          <c:order val="1"/>
          <c:tx>
            <c:strRef>
              <c:f>'Compliance Analysis'!$L$59</c:f>
              <c:strCache>
                <c:ptCount val="1"/>
                <c:pt idx="0">
                  <c:v>Missing Receipt 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'Compliance Analysis'!$J$60:$J$72</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'Compliance Analysis'!$L$60:$L$72</c:f>
              <c:numCache>
                <c:formatCode>0.00%</c:formatCode>
                <c:ptCount val="12"/>
                <c:pt idx="0">
                  <c:v>5.2631578947368418E-2</c:v>
                </c:pt>
                <c:pt idx="1">
                  <c:v>0.15789473684210525</c:v>
                </c:pt>
                <c:pt idx="2">
                  <c:v>8.8235294117647065E-2</c:v>
                </c:pt>
                <c:pt idx="3">
                  <c:v>0.11538461538461539</c:v>
                </c:pt>
                <c:pt idx="4">
                  <c:v>0.13793103448275862</c:v>
                </c:pt>
                <c:pt idx="5">
                  <c:v>0.14285714285714285</c:v>
                </c:pt>
                <c:pt idx="6">
                  <c:v>0.17241379310344829</c:v>
                </c:pt>
                <c:pt idx="7">
                  <c:v>0.14285714285714285</c:v>
                </c:pt>
                <c:pt idx="8">
                  <c:v>0.18518518518518517</c:v>
                </c:pt>
                <c:pt idx="9">
                  <c:v>0.1111111111111111</c:v>
                </c:pt>
                <c:pt idx="10">
                  <c:v>0.10714285714285714</c:v>
                </c:pt>
                <c:pt idx="11">
                  <c:v>6.6666666666666666E-2</c:v>
                </c:pt>
              </c:numCache>
            </c:numRef>
          </c:val>
          <c:smooth val="0"/>
          <c:extLst>
            <c:ext xmlns:c16="http://schemas.microsoft.com/office/drawing/2014/chart" uri="{C3380CC4-5D6E-409C-BE32-E72D297353CC}">
              <c16:uniqueId val="{00000001-30D7-4C35-B3AF-8DC8195D8B48}"/>
            </c:ext>
          </c:extLst>
        </c:ser>
        <c:ser>
          <c:idx val="2"/>
          <c:order val="2"/>
          <c:tx>
            <c:strRef>
              <c:f>'Compliance Analysis'!$M$59</c:f>
              <c:strCache>
                <c:ptCount val="1"/>
                <c:pt idx="0">
                  <c:v>Personal Card Rate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'Compliance Analysis'!$J$60:$J$72</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'Compliance Analysis'!$M$60:$M$72</c:f>
              <c:numCache>
                <c:formatCode>0.00%</c:formatCode>
                <c:ptCount val="12"/>
                <c:pt idx="0">
                  <c:v>0.31578947368421051</c:v>
                </c:pt>
                <c:pt idx="1">
                  <c:v>0.21052631578947367</c:v>
                </c:pt>
                <c:pt idx="2">
                  <c:v>0.17647058823529413</c:v>
                </c:pt>
                <c:pt idx="3">
                  <c:v>0.19230769230769232</c:v>
                </c:pt>
                <c:pt idx="4">
                  <c:v>0.13793103448275862</c:v>
                </c:pt>
                <c:pt idx="5">
                  <c:v>0.19047619047619047</c:v>
                </c:pt>
                <c:pt idx="6">
                  <c:v>0.31034482758620691</c:v>
                </c:pt>
                <c:pt idx="7">
                  <c:v>0.2857142857142857</c:v>
                </c:pt>
                <c:pt idx="8">
                  <c:v>0.14814814814814814</c:v>
                </c:pt>
                <c:pt idx="9">
                  <c:v>0.25925925925925924</c:v>
                </c:pt>
                <c:pt idx="10">
                  <c:v>0.25</c:v>
                </c:pt>
                <c:pt idx="11">
                  <c:v>0.33333333333333331</c:v>
                </c:pt>
              </c:numCache>
            </c:numRef>
          </c:val>
          <c:smooth val="0"/>
          <c:extLst>
            <c:ext xmlns:c16="http://schemas.microsoft.com/office/drawing/2014/chart" uri="{C3380CC4-5D6E-409C-BE32-E72D297353CC}">
              <c16:uniqueId val="{00000002-30D7-4C35-B3AF-8DC8195D8B48}"/>
            </c:ext>
          </c:extLst>
        </c:ser>
        <c:dLbls>
          <c:showLegendKey val="0"/>
          <c:showVal val="0"/>
          <c:showCatName val="0"/>
          <c:showSerName val="0"/>
          <c:showPercent val="0"/>
          <c:showBubbleSize val="0"/>
        </c:dLbls>
        <c:marker val="1"/>
        <c:smooth val="0"/>
        <c:axId val="456473536"/>
        <c:axId val="504499344"/>
      </c:lineChart>
      <c:catAx>
        <c:axId val="45647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04499344"/>
        <c:crosses val="autoZero"/>
        <c:auto val="1"/>
        <c:lblAlgn val="ctr"/>
        <c:lblOffset val="100"/>
        <c:noMultiLvlLbl val="0"/>
      </c:catAx>
      <c:valAx>
        <c:axId val="504499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5647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[TE_Analysis.xlsx]Compliance Analysis!PivotTable21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baseline="0"/>
              <a:t>Transactions by Review Reason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'Compliance Analysis'!$G$76</c:f>
              <c:strCache>
                <c:ptCount val="1"/>
                <c:pt idx="0">
                  <c:v>Total</c:v>
                </c:pt>
              </c:strCache>
            </c:strRef>
          </c:tx>
          <c:spPr>
            <a:solidFill>
              <a:schemeClr val="accent1"/>
            </a:solidFill>
            <a:ln>
              <a:noFill/>
            </a:ln>
            <a:effectLst/>
          </c:spPr>
          <c:invertIfNegative val="0"/>
          <c:cat>
            <c:strRef>
              <c:f>'Compliance Analysis'!$F$77:$F$85</c:f>
              <c:strCache>
                <c:ptCount val="8"/>
                <c:pt idx="0">
                  <c:v>OK</c:v>
                </c:pt>
                <c:pt idx="1">
                  <c:v>Policy Violation</c:v>
                </c:pt>
                <c:pt idx="2">
                  <c:v>Personal Card</c:v>
                </c:pt>
                <c:pt idx="3">
                  <c:v>Missing Receipt</c:v>
                </c:pt>
                <c:pt idx="4">
                  <c:v>Policy Violation + Personal Card</c:v>
                </c:pt>
                <c:pt idx="5">
                  <c:v>Policy Violation + Missing Receipt</c:v>
                </c:pt>
                <c:pt idx="6">
                  <c:v>Missing Receipt + Personal Card</c:v>
                </c:pt>
                <c:pt idx="7">
                  <c:v>Policy Violation + Missing Receipt + Personal Card</c:v>
                </c:pt>
              </c:strCache>
            </c:strRef>
          </c:cat>
          <c:val>
            <c:numRef>
              <c:f>'Compliance Analysis'!$G$77:$G$85</c:f>
              <c:numCache>
                <c:formatCode>General</c:formatCode>
                <c:ptCount val="8"/>
                <c:pt idx="0">
                  <c:v>143</c:v>
                </c:pt>
                <c:pt idx="1">
                  <c:v>59</c:v>
                </c:pt>
                <c:pt idx="2">
                  <c:v>45</c:v>
                </c:pt>
                <c:pt idx="3">
                  <c:v>24</c:v>
                </c:pt>
                <c:pt idx="4">
                  <c:v>17</c:v>
                </c:pt>
                <c:pt idx="5">
                  <c:v>7</c:v>
                </c:pt>
                <c:pt idx="6">
                  <c:v>6</c:v>
                </c:pt>
                <c:pt idx="7">
                  <c:v>1</c:v>
                </c:pt>
              </c:numCache>
            </c:numRef>
          </c:val>
          <c:extLst>
            <c:ext xmlns:c16="http://schemas.microsoft.com/office/drawing/2014/chart" uri="{C3380CC4-5D6E-409C-BE32-E72D297353CC}">
              <c16:uniqueId val="{00000000-D667-4AB6-B2E9-49FF4E478398}"/>
            </c:ext>
          </c:extLst>
        </c:ser>
        <c:dLbls>
          <c:showLegendKey val="0"/>
          <c:showVal val="0"/>
          <c:showCatName val="0"/>
          <c:showSerName val="0"/>
          <c:showPercent val="0"/>
          <c:showBubbleSize val="0"/>
        </c:dLbls>
        <c:gapWidth val="182"/>
        <c:axId val="404308064"/>
        <c:axId val="1600793871"/>
      </c:barChart>
      <c:catAx>
        <c:axId val="40430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600793871"/>
        <c:crosses val="autoZero"/>
        <c:auto val="1"/>
        <c:lblAlgn val="ctr"/>
        <c:lblOffset val="100"/>
        <c:noMultiLvlLbl val="0"/>
      </c:catAx>
      <c:valAx>
        <c:axId val="160079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0430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980297</xdr:colOff>
      <xdr:row>35</xdr:row>
      <xdr:rowOff>169088</xdr:rowOff>
    </xdr:from>
    <xdr:to>
      <xdr:col>11</xdr:col>
      <xdr:colOff>589643</xdr:colOff>
      <xdr:row>51</xdr:row>
      <xdr:rowOff>36286</xdr:rowOff>
    </xdr:to>
    <xdr:graphicFrame macro="">
      <xdr:nvGraphicFramePr>
        <xdr:cNvPr id="6" name="Monthly T&amp;E Spend">
          <a:extLst>
            <a:ext uri="{FF2B5EF4-FFF2-40B4-BE49-F238E27FC236}">
              <a16:creationId xmlns:a16="http://schemas.microsoft.com/office/drawing/2014/main" id="{13E42C0C-FD13-82FA-408C-82185CB6B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984368</xdr:colOff>
      <xdr:row>1</xdr:row>
      <xdr:rowOff>63093</xdr:rowOff>
    </xdr:from>
    <xdr:to>
      <xdr:col>16</xdr:col>
      <xdr:colOff>204373</xdr:colOff>
      <xdr:row>12</xdr:row>
      <xdr:rowOff>163287</xdr:rowOff>
    </xdr:to>
    <xdr:graphicFrame macro="">
      <xdr:nvGraphicFramePr>
        <xdr:cNvPr id="9" name="Category T&amp;E Spend">
          <a:extLst>
            <a:ext uri="{FF2B5EF4-FFF2-40B4-BE49-F238E27FC236}">
              <a16:creationId xmlns:a16="http://schemas.microsoft.com/office/drawing/2014/main" id="{8E30E5E6-AE40-5FF9-391D-47F673D88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341</xdr:colOff>
      <xdr:row>50</xdr:row>
      <xdr:rowOff>55396</xdr:rowOff>
    </xdr:from>
    <xdr:to>
      <xdr:col>15</xdr:col>
      <xdr:colOff>-1</xdr:colOff>
      <xdr:row>72</xdr:row>
      <xdr:rowOff>15875</xdr:rowOff>
    </xdr:to>
    <xdr:graphicFrame macro="">
      <xdr:nvGraphicFramePr>
        <xdr:cNvPr id="2" name="Chart 1">
          <a:extLst>
            <a:ext uri="{FF2B5EF4-FFF2-40B4-BE49-F238E27FC236}">
              <a16:creationId xmlns:a16="http://schemas.microsoft.com/office/drawing/2014/main" id="{9EFBDE8D-22FD-8F80-7B5E-BC9F615D0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9895</xdr:colOff>
      <xdr:row>73</xdr:row>
      <xdr:rowOff>172188</xdr:rowOff>
    </xdr:from>
    <xdr:to>
      <xdr:col>12</xdr:col>
      <xdr:colOff>1158875</xdr:colOff>
      <xdr:row>98</xdr:row>
      <xdr:rowOff>-1</xdr:rowOff>
    </xdr:to>
    <xdr:graphicFrame macro="">
      <xdr:nvGraphicFramePr>
        <xdr:cNvPr id="3" name="Chart 2">
          <a:extLst>
            <a:ext uri="{FF2B5EF4-FFF2-40B4-BE49-F238E27FC236}">
              <a16:creationId xmlns:a16="http://schemas.microsoft.com/office/drawing/2014/main" id="{75300AA8-A313-D01A-3E9B-6254B74F8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57</xdr:row>
      <xdr:rowOff>130175</xdr:rowOff>
    </xdr:from>
    <xdr:to>
      <xdr:col>2</xdr:col>
      <xdr:colOff>788556</xdr:colOff>
      <xdr:row>68</xdr:row>
      <xdr:rowOff>31750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5F60A6F8-94EF-0114-E14D-E46DF12A148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10659630"/>
              <a:ext cx="3140942" cy="19335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71</xdr:row>
      <xdr:rowOff>50800</xdr:rowOff>
    </xdr:from>
    <xdr:to>
      <xdr:col>2</xdr:col>
      <xdr:colOff>337706</xdr:colOff>
      <xdr:row>84</xdr:row>
      <xdr:rowOff>98425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D4A0C1A-7E29-31FD-7431-DF630F8D37E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3500" y="13166436"/>
              <a:ext cx="2623705" cy="244908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149226</xdr:colOff>
      <xdr:row>63</xdr:row>
      <xdr:rowOff>19049</xdr:rowOff>
    </xdr:from>
    <xdr:to>
      <xdr:col>11</xdr:col>
      <xdr:colOff>975592</xdr:colOff>
      <xdr:row>77</xdr:row>
      <xdr:rowOff>31750</xdr:rowOff>
    </xdr:to>
    <mc:AlternateContent xmlns:mc="http://schemas.openxmlformats.org/markup-compatibility/2006" xmlns:a14="http://schemas.microsoft.com/office/drawing/2010/main">
      <mc:Choice Requires="a14">
        <xdr:graphicFrame macro="">
          <xdr:nvGraphicFramePr>
            <xdr:cNvPr id="4" name="Review Reason">
              <a:extLst>
                <a:ext uri="{FF2B5EF4-FFF2-40B4-BE49-F238E27FC236}">
                  <a16:creationId xmlns:a16="http://schemas.microsoft.com/office/drawing/2014/main" id="{E6949FE4-4CC1-48D8-DD75-1DCA5606E7D7}"/>
                </a:ext>
              </a:extLst>
            </xdr:cNvPr>
            <xdr:cNvGraphicFramePr/>
          </xdr:nvGraphicFramePr>
          <xdr:xfrm>
            <a:off x="0" y="0"/>
            <a:ext cx="0" cy="0"/>
          </xdr:xfrm>
          <a:graphic>
            <a:graphicData uri="http://schemas.microsoft.com/office/drawing/2010/slicer">
              <sle:slicer xmlns:sle="http://schemas.microsoft.com/office/drawing/2010/slicer" name="Review Reason"/>
            </a:graphicData>
          </a:graphic>
        </xdr:graphicFrame>
      </mc:Choice>
      <mc:Fallback xmlns="">
        <xdr:sp macro="" textlink="">
          <xdr:nvSpPr>
            <xdr:cNvPr id="0" name=""/>
            <xdr:cNvSpPr>
              <a:spLocks noTextEdit="1"/>
            </xdr:cNvSpPr>
          </xdr:nvSpPr>
          <xdr:spPr>
            <a:xfrm>
              <a:off x="4063134" y="11656867"/>
              <a:ext cx="11380356" cy="2598883"/>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1170346" refreshedDate="46267.358618634258" createdVersion="8" refreshedVersion="8" minRefreshableVersion="3" recordCount="302" xr:uid="{160E21A5-B289-421D-9C24-C62C06D6C18E}">
  <cacheSource type="worksheet">
    <worksheetSource name="TE_Audit"/>
  </cacheSource>
  <cacheFields count="26">
    <cacheField name="Transaction ID" numFmtId="0">
      <sharedItems/>
    </cacheField>
    <cacheField name="Date" numFmtId="14">
      <sharedItems containsSemiMixedTypes="0" containsNonDate="0" containsDate="1" containsString="0" minDate="2025-01-06T00:00:00" maxDate="2025-12-20T00:00:00"/>
    </cacheField>
    <cacheField name="Year" numFmtId="0">
      <sharedItems containsSemiMixedTypes="0" containsString="0" containsNumber="1" containsInteger="1" minValue="2025" maxValue="2025"/>
    </cacheField>
    <cacheField name="Month Number" numFmtId="0">
      <sharedItems containsSemiMixedTypes="0" containsString="0" containsNumber="1" containsInteger="1" minValue="1" maxValue="12"/>
    </cacheField>
    <cacheField name="Month Name" numFmtId="0">
      <sharedItems/>
    </cacheField>
    <cacheField name="Year-Month" numFmtId="0">
      <sharedItems containsDate="1" containsMixedTypes="1" minDate="2025-01-01T00:00:00" maxDate="2025-12-02T00:00:00" count="24">
        <s v="2025-10"/>
        <s v="2025-02"/>
        <s v="2025-07"/>
        <s v="2025-04"/>
        <s v="2025-06"/>
        <s v="2025-08"/>
        <s v="2025-12"/>
        <s v="2025-05"/>
        <s v="2025-09"/>
        <s v="2025-11"/>
        <s v="2025-03"/>
        <s v="2025-01"/>
        <d v="2025-10-01T00:00:00" u="1"/>
        <d v="2025-02-01T00:00:00" u="1"/>
        <d v="2025-07-01T00:00:00" u="1"/>
        <d v="2025-04-01T00:00:00" u="1"/>
        <d v="2025-06-01T00:00:00" u="1"/>
        <d v="2025-08-01T00:00:00" u="1"/>
        <d v="2025-12-01T00:00:00" u="1"/>
        <d v="2025-05-01T00:00:00" u="1"/>
        <d v="2025-09-01T00:00:00" u="1"/>
        <d v="2025-11-01T00:00:00" u="1"/>
        <d v="2025-03-01T00:00:00" u="1"/>
        <d v="2025-01-01T00:00:00" u="1"/>
      </sharedItems>
    </cacheField>
    <cacheField name="Employee ID" numFmtId="0">
      <sharedItems/>
    </cacheField>
    <cacheField name="Name" numFmtId="0">
      <sharedItems count="49">
        <s v="Shirley Stewart"/>
        <s v="Deborah Rivera"/>
        <s v="Jeffrey Collins"/>
        <s v="Frank Cooper"/>
        <s v="Jennifer Garcia"/>
        <s v="Kevin Nelson"/>
        <s v="Timothy Campbell"/>
        <s v="Paul Wright"/>
        <s v="Jessica Thomas"/>
        <s v="Raymond Cox"/>
        <s v="Michael Miller"/>
        <s v="Christopher Lee"/>
        <s v="Susan Wilson"/>
        <s v="William Hernandez"/>
        <s v="Edward Carter"/>
        <s v="Helen Richardson"/>
        <s v="Michelle Flores"/>
        <s v="Amanda Adams"/>
        <s v="Daniel Thompson"/>
        <s v="Robert Williams"/>
        <s v="Kenneth Green"/>
        <s v="Ryan Sanchez"/>
        <s v="Linda Davis"/>
        <s v="Donna Nguyen"/>
        <s v="Gary Cook"/>
        <s v="Jacob Rogers"/>
        <s v="Matthew Harris"/>
        <s v="Marie Howard"/>
        <s v="Anthony Clark"/>
        <s v="Joseph Anderson"/>
        <s v="David Rodriguez"/>
        <s v="Kimberly King"/>
        <s v="Steven Allen"/>
        <s v="Andrew Torres"/>
        <s v="Nancy Perez"/>
        <s v="Richard Gonzalez"/>
        <s v="Eric Bailey"/>
        <s v="Ronald Turner"/>
        <s v="Sandra Robinson"/>
        <s v="Barbara Lopez"/>
        <s v="Joshua Hill"/>
        <s v="Melissa Baker"/>
        <s v="Betty Sanchez"/>
        <s v="Thomas Taylor"/>
        <s v="Brenda Morris"/>
        <s v="John Jones"/>
        <s v="Charles Jackson"/>
        <s v="Lisa White"/>
        <s v="Ashley Young"/>
      </sharedItems>
    </cacheField>
    <cacheField name="Department" numFmtId="0">
      <sharedItems count="6">
        <s v="Finance"/>
        <s v="Marketing"/>
        <s v="Engineering"/>
        <s v="Operations"/>
        <s v="Sales"/>
        <s v="HR"/>
      </sharedItems>
    </cacheField>
    <cacheField name="Region" numFmtId="0">
      <sharedItems/>
    </cacheField>
    <cacheField name="Category" numFmtId="0">
      <sharedItems count="7">
        <s v="Train"/>
        <s v="Hotel"/>
        <s v="Breakfast"/>
        <s v="Taxi/Rideshare"/>
        <s v="Dinner"/>
        <s v="Lunch"/>
        <s v="Airfare"/>
      </sharedItems>
    </cacheField>
    <cacheField name="Amount" numFmtId="0">
      <sharedItems containsSemiMixedTypes="0" containsString="0" containsNumber="1" minValue="11.94" maxValue="1631.75"/>
    </cacheField>
    <cacheField name="Payment Method" numFmtId="0">
      <sharedItems/>
    </cacheField>
    <cacheField name="Business Purpose" numFmtId="0">
      <sharedItems/>
    </cacheField>
    <cacheField name="Business Purpose Group" numFmtId="0">
      <sharedItems count="6">
        <s v="Travel"/>
        <s v="Training/Development/Event"/>
        <s v="Client/Customer"/>
        <s v="Internal/Team"/>
        <s v="Project/Business"/>
        <s v="External Meeting"/>
      </sharedItems>
    </cacheField>
    <cacheField name="Location" numFmtId="0">
      <sharedItems/>
    </cacheField>
    <cacheField name="Policy Violation" numFmtId="0">
      <sharedItems containsSemiMixedTypes="0" containsString="0" containsNumber="1" containsInteger="1" minValue="0" maxValue="1"/>
    </cacheField>
    <cacheField name="Policy Limit" numFmtId="0">
      <sharedItems containsSemiMixedTypes="0" containsString="0" containsNumber="1" containsInteger="1" minValue="30" maxValue="800"/>
    </cacheField>
    <cacheField name="Excess Amount" numFmtId="0">
      <sharedItems containsSemiMixedTypes="0" containsString="0" containsNumber="1" minValue="0" maxValue="831.75"/>
    </cacheField>
    <cacheField name="Missing Receipt" numFmtId="0">
      <sharedItems containsSemiMixedTypes="0" containsString="0" containsNumber="1" containsInteger="1" minValue="0" maxValue="1"/>
    </cacheField>
    <cacheField name="Missing Receipt Spend" numFmtId="0">
      <sharedItems containsSemiMixedTypes="0" containsString="0" containsNumber="1" minValue="0" maxValue="1155.77"/>
    </cacheField>
    <cacheField name="Receipt Status" numFmtId="0">
      <sharedItems/>
    </cacheField>
    <cacheField name="Personal Card Flag" numFmtId="0">
      <sharedItems containsSemiMixedTypes="0" containsString="0" containsNumber="1" containsInteger="1" minValue="0" maxValue="1"/>
    </cacheField>
    <cacheField name="Personal Card Spend" numFmtId="0">
      <sharedItems containsSemiMixedTypes="0" containsString="0" containsNumber="1" minValue="0" maxValue="1166.83"/>
    </cacheField>
    <cacheField name="Compliance Status" numFmtId="0">
      <sharedItems/>
    </cacheField>
    <cacheField name="Review Reason" numFmtId="0">
      <sharedItems count="8">
        <s v="OK"/>
        <s v="Missing Receipt"/>
        <s v="Personal Card"/>
        <s v="Missing Receipt + Personal Card"/>
        <s v="Policy Violation"/>
        <s v="Policy Violation + Missing Receipt + Personal Card"/>
        <s v="Policy Violation + Personal Card"/>
        <s v="Policy Violation + Missing Receipt"/>
      </sharedItems>
    </cacheField>
  </cacheFields>
  <extLst>
    <ext xmlns:x14="http://schemas.microsoft.com/office/spreadsheetml/2009/9/main" uri="{725AE2AE-9491-48be-B2B4-4EB974FC3084}">
      <x14:pivotCacheDefinition pivotCacheId="1120348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
  <r>
    <s v="T00234"/>
    <d v="2025-10-01T00:00:00"/>
    <n v="2025"/>
    <n v="10"/>
    <s v="October"/>
    <x v="0"/>
    <s v="E158"/>
    <x v="0"/>
    <x v="0"/>
    <s v="Berlin, Germany"/>
    <x v="0"/>
    <n v="120.71"/>
    <s v="Corporate Card"/>
    <s v="Business trip"/>
    <x v="0"/>
    <s v="Berlin, Germany"/>
    <n v="0"/>
    <n v="150"/>
    <n v="0"/>
    <n v="0"/>
    <n v="0"/>
    <s v="Complete"/>
    <n v="0"/>
    <n v="0"/>
    <s v="OK"/>
    <x v="0"/>
  </r>
  <r>
    <s v="T00167"/>
    <d v="2025-02-27T00:00:00"/>
    <n v="2025"/>
    <n v="2"/>
    <s v="February"/>
    <x v="1"/>
    <s v="E146"/>
    <x v="1"/>
    <x v="0"/>
    <s v="Warsaw, Poland"/>
    <x v="1"/>
    <n v="118.27"/>
    <s v="Corporate Card"/>
    <s v="Finance workshop"/>
    <x v="1"/>
    <s v="London, UK"/>
    <n v="0"/>
    <n v="300"/>
    <n v="0"/>
    <n v="0"/>
    <n v="0"/>
    <s v="Complete"/>
    <n v="0"/>
    <n v="0"/>
    <s v="OK"/>
    <x v="0"/>
  </r>
  <r>
    <s v="T00214"/>
    <d v="2025-07-23T00:00:00"/>
    <n v="2025"/>
    <n v="7"/>
    <s v="July"/>
    <x v="2"/>
    <s v="E157"/>
    <x v="2"/>
    <x v="1"/>
    <s v="Warsaw, Poland"/>
    <x v="2"/>
    <n v="15.83"/>
    <s v="Corporate Card"/>
    <s v="Client meeting"/>
    <x v="2"/>
    <s v="London, UK"/>
    <n v="0"/>
    <n v="30"/>
    <n v="0"/>
    <n v="1"/>
    <n v="15.83"/>
    <s v="Missing Receipt"/>
    <n v="0"/>
    <n v="0"/>
    <s v="Review"/>
    <x v="1"/>
  </r>
  <r>
    <s v="T00258"/>
    <d v="2025-10-23T00:00:00"/>
    <n v="2025"/>
    <n v="10"/>
    <s v="October"/>
    <x v="0"/>
    <s v="E168"/>
    <x v="3"/>
    <x v="2"/>
    <s v="Berlin, Germany"/>
    <x v="3"/>
    <n v="59.98"/>
    <s v="Personal Card"/>
    <s v="Late return from client meeting"/>
    <x v="2"/>
    <s v="Prague, Czech Republic"/>
    <n v="0"/>
    <n v="75"/>
    <n v="0"/>
    <n v="0"/>
    <n v="0"/>
    <s v="Complete"/>
    <n v="1"/>
    <n v="59.98"/>
    <s v="Review"/>
    <x v="2"/>
  </r>
  <r>
    <s v="T00010"/>
    <d v="2025-04-21T00:00:00"/>
    <n v="2025"/>
    <n v="4"/>
    <s v="April"/>
    <x v="3"/>
    <s v="E106"/>
    <x v="4"/>
    <x v="3"/>
    <s v="Warsaw, Poland"/>
    <x v="4"/>
    <n v="53.45"/>
    <s v="Corporate Card"/>
    <s v="Business trip"/>
    <x v="0"/>
    <s v="Prague, Czech Republic"/>
    <n v="0"/>
    <n v="75"/>
    <n v="0"/>
    <n v="0"/>
    <n v="0"/>
    <s v="Complete"/>
    <n v="0"/>
    <n v="0"/>
    <s v="OK"/>
    <x v="0"/>
  </r>
  <r>
    <s v="T00152"/>
    <d v="2025-06-20T00:00:00"/>
    <n v="2025"/>
    <n v="6"/>
    <s v="June"/>
    <x v="4"/>
    <s v="E143"/>
    <x v="5"/>
    <x v="4"/>
    <s v="London, UK"/>
    <x v="5"/>
    <n v="27.01"/>
    <s v="Corporate Card"/>
    <s v="Customer workshop"/>
    <x v="2"/>
    <s v="Amsterdam, Netherlands"/>
    <n v="0"/>
    <n v="50"/>
    <n v="0"/>
    <n v="0"/>
    <n v="0"/>
    <s v="Complete"/>
    <n v="0"/>
    <n v="0"/>
    <s v="OK"/>
    <x v="0"/>
  </r>
  <r>
    <s v="T00179"/>
    <d v="2025-06-30T00:00:00"/>
    <n v="2025"/>
    <n v="6"/>
    <s v="June"/>
    <x v="4"/>
    <s v="E153"/>
    <x v="6"/>
    <x v="5"/>
    <s v="Warsaw, Poland"/>
    <x v="1"/>
    <n v="119.45"/>
    <s v="Personal Card"/>
    <s v="Business trip"/>
    <x v="0"/>
    <s v="Gdansk, Poland"/>
    <n v="0"/>
    <n v="300"/>
    <n v="0"/>
    <n v="0"/>
    <n v="0"/>
    <s v="Complete"/>
    <n v="1"/>
    <n v="119.45"/>
    <s v="Review"/>
    <x v="2"/>
  </r>
  <r>
    <s v="T00119"/>
    <d v="2025-08-12T00:00:00"/>
    <n v="2025"/>
    <n v="8"/>
    <s v="August"/>
    <x v="5"/>
    <s v="E135"/>
    <x v="7"/>
    <x v="5"/>
    <s v="Warsaw, Poland"/>
    <x v="4"/>
    <n v="36.96"/>
    <s v="Personal Card"/>
    <s v="Team dinner"/>
    <x v="3"/>
    <s v="Gdansk, Poland"/>
    <n v="0"/>
    <n v="75"/>
    <n v="0"/>
    <n v="1"/>
    <n v="36.96"/>
    <s v="Missing Receipt"/>
    <n v="1"/>
    <n v="36.96"/>
    <s v="Review"/>
    <x v="3"/>
  </r>
  <r>
    <s v="T00194"/>
    <d v="2025-12-08T00:00:00"/>
    <n v="2025"/>
    <n v="12"/>
    <s v="December"/>
    <x v="6"/>
    <s v="E157"/>
    <x v="2"/>
    <x v="1"/>
    <s v="Warsaw, Poland"/>
    <x v="1"/>
    <n v="260.81"/>
    <s v="Corporate Card"/>
    <s v="Project workshop"/>
    <x v="4"/>
    <s v="Krakow, Poland"/>
    <n v="0"/>
    <n v="300"/>
    <n v="0"/>
    <n v="0"/>
    <n v="0"/>
    <s v="Complete"/>
    <n v="0"/>
    <n v="0"/>
    <s v="OK"/>
    <x v="0"/>
  </r>
  <r>
    <s v="T00229"/>
    <d v="2025-06-02T00:00:00"/>
    <n v="2025"/>
    <n v="6"/>
    <s v="June"/>
    <x v="4"/>
    <s v="E157"/>
    <x v="2"/>
    <x v="1"/>
    <s v="Warsaw, Poland"/>
    <x v="6"/>
    <n v="962.1"/>
    <s v="Corporate Card"/>
    <s v="Supplier meeting"/>
    <x v="5"/>
    <s v="Wroclaw, Poland"/>
    <n v="1"/>
    <n v="800"/>
    <n v="162.1"/>
    <n v="0"/>
    <n v="0"/>
    <s v="Complete"/>
    <n v="0"/>
    <n v="0"/>
    <s v="Review"/>
    <x v="4"/>
  </r>
  <r>
    <s v="T00061"/>
    <d v="2025-05-05T00:00:00"/>
    <n v="2025"/>
    <n v="5"/>
    <s v="May"/>
    <x v="7"/>
    <s v="E116"/>
    <x v="8"/>
    <x v="0"/>
    <s v="Warsaw, Poland"/>
    <x v="6"/>
    <n v="907.48"/>
    <s v="Corporate Card"/>
    <s v="Training"/>
    <x v="1"/>
    <s v="London, UK"/>
    <n v="1"/>
    <n v="800"/>
    <n v="107.48"/>
    <n v="0"/>
    <n v="0"/>
    <s v="Complete"/>
    <n v="0"/>
    <n v="0"/>
    <s v="Review"/>
    <x v="4"/>
  </r>
  <r>
    <s v="T00296"/>
    <d v="2025-08-29T00:00:00"/>
    <n v="2025"/>
    <n v="8"/>
    <s v="August"/>
    <x v="5"/>
    <s v="E170"/>
    <x v="9"/>
    <x v="0"/>
    <s v="Warsaw, Poland"/>
    <x v="2"/>
    <n v="22.79"/>
    <s v="Corporate Card"/>
    <s v="Client meeting"/>
    <x v="2"/>
    <s v="Krakow, Poland"/>
    <n v="0"/>
    <n v="30"/>
    <n v="0"/>
    <n v="0"/>
    <n v="0"/>
    <s v="Complete"/>
    <n v="0"/>
    <n v="0"/>
    <s v="OK"/>
    <x v="0"/>
  </r>
  <r>
    <s v="T00065"/>
    <d v="2025-09-25T00:00:00"/>
    <n v="2025"/>
    <n v="9"/>
    <s v="September"/>
    <x v="8"/>
    <s v="E116"/>
    <x v="8"/>
    <x v="0"/>
    <s v="Warsaw, Poland"/>
    <x v="0"/>
    <n v="119.2"/>
    <s v="Corporate Card"/>
    <s v="Internal meeting"/>
    <x v="3"/>
    <s v="Warsaw, Poland"/>
    <n v="0"/>
    <n v="150"/>
    <n v="0"/>
    <n v="1"/>
    <n v="119.2"/>
    <s v="Missing Receipt"/>
    <n v="0"/>
    <n v="0"/>
    <s v="Review"/>
    <x v="1"/>
  </r>
  <r>
    <s v="T00012"/>
    <d v="2025-06-18T00:00:00"/>
    <n v="2025"/>
    <n v="6"/>
    <s v="June"/>
    <x v="4"/>
    <s v="E107"/>
    <x v="10"/>
    <x v="4"/>
    <s v="Berlin, Germany"/>
    <x v="4"/>
    <n v="40.9"/>
    <s v="Corporate Card"/>
    <s v="Supplier meeting"/>
    <x v="5"/>
    <s v="Prague, Czech Republic"/>
    <n v="0"/>
    <n v="75"/>
    <n v="0"/>
    <n v="0"/>
    <n v="0"/>
    <s v="Complete"/>
    <n v="0"/>
    <n v="0"/>
    <s v="OK"/>
    <x v="0"/>
  </r>
  <r>
    <s v="T00078"/>
    <d v="2025-04-23T00:00:00"/>
    <n v="2025"/>
    <n v="4"/>
    <s v="April"/>
    <x v="3"/>
    <s v="E121"/>
    <x v="11"/>
    <x v="1"/>
    <s v="Warsaw, Poland"/>
    <x v="2"/>
    <n v="25.22"/>
    <s v="Corporate Card"/>
    <s v="Internal meeting"/>
    <x v="3"/>
    <s v="Warsaw, Poland"/>
    <n v="0"/>
    <n v="30"/>
    <n v="0"/>
    <n v="0"/>
    <n v="0"/>
    <s v="Complete"/>
    <n v="0"/>
    <n v="0"/>
    <s v="OK"/>
    <x v="0"/>
  </r>
  <r>
    <s v="T00160"/>
    <d v="2025-09-25T00:00:00"/>
    <n v="2025"/>
    <n v="9"/>
    <s v="September"/>
    <x v="8"/>
    <s v="E143"/>
    <x v="5"/>
    <x v="4"/>
    <s v="London, UK"/>
    <x v="4"/>
    <n v="31.53"/>
    <s v="Corporate Card"/>
    <s v="Supplier meeting"/>
    <x v="5"/>
    <s v="Amsterdam, Netherlands"/>
    <n v="0"/>
    <n v="75"/>
    <n v="0"/>
    <n v="0"/>
    <n v="0"/>
    <s v="Complete"/>
    <n v="0"/>
    <n v="0"/>
    <s v="OK"/>
    <x v="0"/>
  </r>
  <r>
    <s v="T00220"/>
    <d v="2025-12-10T00:00:00"/>
    <n v="2025"/>
    <n v="12"/>
    <s v="December"/>
    <x v="6"/>
    <s v="E157"/>
    <x v="2"/>
    <x v="1"/>
    <s v="Warsaw, Poland"/>
    <x v="5"/>
    <n v="58.77"/>
    <s v="Corporate Card"/>
    <s v="Client meeting"/>
    <x v="2"/>
    <s v="Wroclaw, Poland"/>
    <n v="1"/>
    <n v="50"/>
    <n v="8.77"/>
    <n v="0"/>
    <n v="0"/>
    <s v="Complete"/>
    <n v="0"/>
    <n v="0"/>
    <s v="Review"/>
    <x v="4"/>
  </r>
  <r>
    <s v="T00186"/>
    <d v="2025-11-17T00:00:00"/>
    <n v="2025"/>
    <n v="11"/>
    <s v="November"/>
    <x v="9"/>
    <s v="E157"/>
    <x v="2"/>
    <x v="1"/>
    <s v="Warsaw, Poland"/>
    <x v="0"/>
    <n v="173.61"/>
    <s v="Personal Card"/>
    <s v="Business trip"/>
    <x v="0"/>
    <s v="London, UK"/>
    <n v="1"/>
    <n v="150"/>
    <n v="23.61"/>
    <n v="1"/>
    <n v="173.61"/>
    <s v="Missing Receipt"/>
    <n v="1"/>
    <n v="173.61"/>
    <s v="Review"/>
    <x v="5"/>
  </r>
  <r>
    <s v="T00185"/>
    <d v="2025-03-25T00:00:00"/>
    <n v="2025"/>
    <n v="3"/>
    <s v="March"/>
    <x v="10"/>
    <s v="E157"/>
    <x v="2"/>
    <x v="1"/>
    <s v="Warsaw, Poland"/>
    <x v="1"/>
    <n v="354.63"/>
    <s v="Corporate Card"/>
    <s v="Conference attendance"/>
    <x v="1"/>
    <s v="Vienna, Austria"/>
    <n v="1"/>
    <n v="300"/>
    <n v="54.63"/>
    <n v="0"/>
    <n v="0"/>
    <s v="Complete"/>
    <n v="0"/>
    <n v="0"/>
    <s v="Review"/>
    <x v="4"/>
  </r>
  <r>
    <s v="T00165"/>
    <d v="2025-05-13T00:00:00"/>
    <n v="2025"/>
    <n v="5"/>
    <s v="May"/>
    <x v="7"/>
    <s v="E146"/>
    <x v="1"/>
    <x v="0"/>
    <s v="Warsaw, Poland"/>
    <x v="5"/>
    <n v="56.55"/>
    <s v="Corporate Card"/>
    <s v="Team lunch"/>
    <x v="3"/>
    <s v="London, UK"/>
    <n v="1"/>
    <n v="50"/>
    <n v="6.55"/>
    <n v="0"/>
    <n v="0"/>
    <s v="Complete"/>
    <n v="0"/>
    <n v="0"/>
    <s v="Review"/>
    <x v="4"/>
  </r>
  <r>
    <s v="T00042"/>
    <d v="2025-06-26T00:00:00"/>
    <n v="2025"/>
    <n v="6"/>
    <s v="June"/>
    <x v="4"/>
    <s v="E114"/>
    <x v="12"/>
    <x v="2"/>
    <s v="London, UK"/>
    <x v="2"/>
    <n v="19.690000000000001"/>
    <s v="Corporate Card"/>
    <s v="Business trip"/>
    <x v="0"/>
    <s v="Berlin, Germany"/>
    <n v="0"/>
    <n v="30"/>
    <n v="0"/>
    <n v="1"/>
    <n v="19.690000000000001"/>
    <s v="Missing Receipt"/>
    <n v="0"/>
    <n v="0"/>
    <s v="Review"/>
    <x v="1"/>
  </r>
  <r>
    <s v="T00259"/>
    <d v="2025-04-26T00:00:00"/>
    <n v="2025"/>
    <n v="4"/>
    <s v="April"/>
    <x v="3"/>
    <s v="E168"/>
    <x v="3"/>
    <x v="2"/>
    <s v="Berlin, Germany"/>
    <x v="6"/>
    <n v="913.42"/>
    <s v="Corporate Card"/>
    <s v="Customer visit"/>
    <x v="2"/>
    <s v="Hamburg, Germany"/>
    <n v="1"/>
    <n v="800"/>
    <n v="113.42"/>
    <n v="0"/>
    <n v="0"/>
    <s v="Complete"/>
    <n v="0"/>
    <n v="0"/>
    <s v="Review"/>
    <x v="4"/>
  </r>
  <r>
    <s v="T00025"/>
    <d v="2025-11-10T00:00:00"/>
    <n v="2025"/>
    <n v="11"/>
    <s v="November"/>
    <x v="9"/>
    <s v="E111"/>
    <x v="13"/>
    <x v="5"/>
    <s v="Warsaw, Poland"/>
    <x v="4"/>
    <n v="68.89"/>
    <s v="Personal Card"/>
    <s v="Team dinner"/>
    <x v="3"/>
    <s v="Krakow, Poland"/>
    <n v="0"/>
    <n v="75"/>
    <n v="0"/>
    <n v="0"/>
    <n v="0"/>
    <s v="Complete"/>
    <n v="1"/>
    <n v="68.89"/>
    <s v="Review"/>
    <x v="2"/>
  </r>
  <r>
    <s v="T00170"/>
    <d v="2025-05-05T00:00:00"/>
    <n v="2025"/>
    <n v="5"/>
    <s v="May"/>
    <x v="7"/>
    <s v="E149"/>
    <x v="14"/>
    <x v="4"/>
    <s v="Warsaw, Poland"/>
    <x v="1"/>
    <n v="177.79"/>
    <s v="Corporate Card"/>
    <s v="Conference attendance"/>
    <x v="1"/>
    <s v="Prague, Czech Republic"/>
    <n v="0"/>
    <n v="300"/>
    <n v="0"/>
    <n v="1"/>
    <n v="177.79"/>
    <s v="Missing Receipt"/>
    <n v="0"/>
    <n v="0"/>
    <s v="Review"/>
    <x v="1"/>
  </r>
  <r>
    <s v="T00161"/>
    <d v="2025-09-08T00:00:00"/>
    <n v="2025"/>
    <n v="9"/>
    <s v="September"/>
    <x v="8"/>
    <s v="E143"/>
    <x v="5"/>
    <x v="4"/>
    <s v="London, UK"/>
    <x v="5"/>
    <n v="18.34"/>
    <s v="Corporate Card"/>
    <s v="Customer workshop"/>
    <x v="2"/>
    <s v="London, UK"/>
    <n v="0"/>
    <n v="50"/>
    <n v="0"/>
    <n v="1"/>
    <n v="18.34"/>
    <s v="Missing Receipt"/>
    <n v="0"/>
    <n v="0"/>
    <s v="Review"/>
    <x v="1"/>
  </r>
  <r>
    <s v="T00193"/>
    <d v="2025-05-21T00:00:00"/>
    <n v="2025"/>
    <n v="5"/>
    <s v="May"/>
    <x v="7"/>
    <s v="E157"/>
    <x v="2"/>
    <x v="1"/>
    <s v="Warsaw, Poland"/>
    <x v="3"/>
    <n v="60.07"/>
    <s v="Corporate Card"/>
    <s v="Late return from client meeting"/>
    <x v="2"/>
    <s v="Wroclaw, Poland"/>
    <n v="0"/>
    <n v="75"/>
    <n v="0"/>
    <n v="0"/>
    <n v="0"/>
    <s v="Complete"/>
    <n v="0"/>
    <n v="0"/>
    <s v="OK"/>
    <x v="0"/>
  </r>
  <r>
    <s v="T00297"/>
    <d v="2025-03-14T00:00:00"/>
    <n v="2025"/>
    <n v="3"/>
    <s v="March"/>
    <x v="10"/>
    <s v="E170"/>
    <x v="9"/>
    <x v="0"/>
    <s v="Warsaw, Poland"/>
    <x v="1"/>
    <n v="340.47"/>
    <s v="Corporate Card"/>
    <s v="Finance workshop"/>
    <x v="1"/>
    <s v="Berlin, Germany"/>
    <n v="1"/>
    <n v="300"/>
    <n v="40.47"/>
    <n v="0"/>
    <n v="0"/>
    <s v="Complete"/>
    <n v="0"/>
    <n v="0"/>
    <s v="Review"/>
    <x v="4"/>
  </r>
  <r>
    <s v="T00074"/>
    <d v="2025-04-07T00:00:00"/>
    <n v="2025"/>
    <n v="4"/>
    <s v="April"/>
    <x v="3"/>
    <s v="E121"/>
    <x v="11"/>
    <x v="1"/>
    <s v="Warsaw, Poland"/>
    <x v="4"/>
    <n v="52.17"/>
    <s v="Corporate Card"/>
    <s v="Team dinner"/>
    <x v="3"/>
    <s v="Paris, France"/>
    <n v="0"/>
    <n v="75"/>
    <n v="0"/>
    <n v="1"/>
    <n v="52.17"/>
    <s v="Missing Receipt"/>
    <n v="0"/>
    <n v="0"/>
    <s v="Review"/>
    <x v="1"/>
  </r>
  <r>
    <s v="T00285"/>
    <d v="2025-04-08T00:00:00"/>
    <n v="2025"/>
    <n v="4"/>
    <s v="April"/>
    <x v="3"/>
    <s v="E170"/>
    <x v="9"/>
    <x v="0"/>
    <s v="Warsaw, Poland"/>
    <x v="6"/>
    <n v="579.71"/>
    <s v="Personal Card"/>
    <s v="Training"/>
    <x v="1"/>
    <s v="Berlin, Germany"/>
    <n v="0"/>
    <n v="800"/>
    <n v="0"/>
    <n v="1"/>
    <n v="579.71"/>
    <s v="Missing Receipt"/>
    <n v="1"/>
    <n v="579.71"/>
    <s v="Review"/>
    <x v="3"/>
  </r>
  <r>
    <s v="T00153"/>
    <d v="2025-12-08T00:00:00"/>
    <n v="2025"/>
    <n v="12"/>
    <s v="December"/>
    <x v="6"/>
    <s v="E143"/>
    <x v="5"/>
    <x v="4"/>
    <s v="London, UK"/>
    <x v="5"/>
    <n v="55"/>
    <s v="Corporate Card"/>
    <s v="Client meeting"/>
    <x v="2"/>
    <s v="Amsterdam, Netherlands"/>
    <n v="1"/>
    <n v="50"/>
    <n v="5"/>
    <n v="0"/>
    <n v="0"/>
    <s v="Complete"/>
    <n v="0"/>
    <n v="0"/>
    <s v="Review"/>
    <x v="4"/>
  </r>
  <r>
    <s v="T00063"/>
    <d v="2025-08-27T00:00:00"/>
    <n v="2025"/>
    <n v="8"/>
    <s v="August"/>
    <x v="5"/>
    <s v="E116"/>
    <x v="8"/>
    <x v="0"/>
    <s v="Warsaw, Poland"/>
    <x v="4"/>
    <n v="29.45"/>
    <s v="Corporate Card"/>
    <s v="Project milestone dinner"/>
    <x v="4"/>
    <s v="London, UK"/>
    <n v="0"/>
    <n v="75"/>
    <n v="0"/>
    <n v="0"/>
    <n v="0"/>
    <s v="Complete"/>
    <n v="0"/>
    <n v="0"/>
    <s v="OK"/>
    <x v="0"/>
  </r>
  <r>
    <s v="T00263"/>
    <d v="2025-11-26T00:00:00"/>
    <n v="2025"/>
    <n v="11"/>
    <s v="November"/>
    <x v="9"/>
    <s v="E169"/>
    <x v="15"/>
    <x v="1"/>
    <s v="London, UK"/>
    <x v="6"/>
    <n v="571.91"/>
    <s v="Personal Card"/>
    <s v="Supplier meeting"/>
    <x v="5"/>
    <s v="Berlin, Germany"/>
    <n v="0"/>
    <n v="800"/>
    <n v="0"/>
    <n v="0"/>
    <n v="0"/>
    <s v="Complete"/>
    <n v="1"/>
    <n v="571.91"/>
    <s v="Review"/>
    <x v="2"/>
  </r>
  <r>
    <s v="T00132"/>
    <d v="2025-03-19T00:00:00"/>
    <n v="2025"/>
    <n v="3"/>
    <s v="March"/>
    <x v="10"/>
    <s v="E140"/>
    <x v="16"/>
    <x v="0"/>
    <s v="London, UK"/>
    <x v="5"/>
    <n v="22.62"/>
    <s v="Personal Card"/>
    <s v="Business trip"/>
    <x v="0"/>
    <s v="Manchester, UK"/>
    <n v="0"/>
    <n v="50"/>
    <n v="0"/>
    <n v="0"/>
    <n v="0"/>
    <s v="Complete"/>
    <n v="1"/>
    <n v="22.62"/>
    <s v="Review"/>
    <x v="2"/>
  </r>
  <r>
    <s v="T00148"/>
    <d v="2025-01-17T00:00:00"/>
    <n v="2025"/>
    <n v="1"/>
    <s v="January"/>
    <x v="11"/>
    <s v="E142"/>
    <x v="17"/>
    <x v="3"/>
    <s v="Warsaw, Poland"/>
    <x v="6"/>
    <n v="318.76"/>
    <s v="Corporate Card"/>
    <s v="Training"/>
    <x v="1"/>
    <s v="Vienna, Austria"/>
    <n v="0"/>
    <n v="800"/>
    <n v="0"/>
    <n v="0"/>
    <n v="0"/>
    <s v="Complete"/>
    <n v="0"/>
    <n v="0"/>
    <s v="OK"/>
    <x v="0"/>
  </r>
  <r>
    <s v="T00092"/>
    <d v="2025-05-09T00:00:00"/>
    <n v="2025"/>
    <n v="5"/>
    <s v="May"/>
    <x v="7"/>
    <s v="E123"/>
    <x v="18"/>
    <x v="5"/>
    <s v="Berlin, Germany"/>
    <x v="1"/>
    <n v="374.61"/>
    <s v="Corporate Card"/>
    <s v="HR conference"/>
    <x v="1"/>
    <s v="Vienna, Austria"/>
    <n v="1"/>
    <n v="300"/>
    <n v="74.61"/>
    <n v="0"/>
    <n v="0"/>
    <s v="Complete"/>
    <n v="0"/>
    <n v="0"/>
    <s v="Review"/>
    <x v="4"/>
  </r>
  <r>
    <s v="T00014"/>
    <d v="2025-06-09T00:00:00"/>
    <n v="2025"/>
    <n v="6"/>
    <s v="June"/>
    <x v="4"/>
    <s v="E107"/>
    <x v="10"/>
    <x v="4"/>
    <s v="Berlin, Germany"/>
    <x v="6"/>
    <n v="853.4"/>
    <s v="Corporate Card"/>
    <s v="Customer visit"/>
    <x v="2"/>
    <s v="Munich, Germany"/>
    <n v="1"/>
    <n v="800"/>
    <n v="53.4"/>
    <n v="0"/>
    <n v="0"/>
    <s v="Complete"/>
    <n v="0"/>
    <n v="0"/>
    <s v="Review"/>
    <x v="4"/>
  </r>
  <r>
    <s v="T00175"/>
    <d v="2025-06-04T00:00:00"/>
    <n v="2025"/>
    <n v="6"/>
    <s v="June"/>
    <x v="4"/>
    <s v="E153"/>
    <x v="6"/>
    <x v="5"/>
    <s v="Warsaw, Poland"/>
    <x v="6"/>
    <n v="535.42999999999995"/>
    <s v="Corporate Card"/>
    <s v="Supplier meeting"/>
    <x v="5"/>
    <s v="Paris, France"/>
    <n v="0"/>
    <n v="800"/>
    <n v="0"/>
    <n v="0"/>
    <n v="0"/>
    <s v="Complete"/>
    <n v="0"/>
    <n v="0"/>
    <s v="OK"/>
    <x v="0"/>
  </r>
  <r>
    <s v="T00001"/>
    <d v="2025-03-13T00:00:00"/>
    <n v="2025"/>
    <n v="3"/>
    <s v="March"/>
    <x v="10"/>
    <s v="E103"/>
    <x v="19"/>
    <x v="1"/>
    <s v="Warsaw, Poland"/>
    <x v="3"/>
    <n v="22.47"/>
    <s v="Corporate Card"/>
    <s v="Travel between offices"/>
    <x v="0"/>
    <s v="Gdansk, Poland"/>
    <n v="0"/>
    <n v="75"/>
    <n v="0"/>
    <n v="1"/>
    <n v="22.47"/>
    <s v="Missing Receipt"/>
    <n v="0"/>
    <n v="0"/>
    <s v="Review"/>
    <x v="1"/>
  </r>
  <r>
    <s v="T00140"/>
    <d v="2025-06-20T00:00:00"/>
    <n v="2025"/>
    <n v="6"/>
    <s v="June"/>
    <x v="4"/>
    <s v="E141"/>
    <x v="20"/>
    <x v="5"/>
    <s v="Berlin, Germany"/>
    <x v="5"/>
    <n v="30.74"/>
    <s v="Corporate Card"/>
    <s v="Team lunch"/>
    <x v="3"/>
    <s v="Warsaw, Poland"/>
    <n v="0"/>
    <n v="50"/>
    <n v="0"/>
    <n v="0"/>
    <n v="0"/>
    <s v="Complete"/>
    <n v="0"/>
    <n v="0"/>
    <s v="OK"/>
    <x v="0"/>
  </r>
  <r>
    <s v="T00201"/>
    <d v="2025-09-12T00:00:00"/>
    <n v="2025"/>
    <n v="9"/>
    <s v="September"/>
    <x v="8"/>
    <s v="E157"/>
    <x v="2"/>
    <x v="1"/>
    <s v="Warsaw, Poland"/>
    <x v="4"/>
    <n v="60.47"/>
    <s v="Corporate Card"/>
    <s v="Partner meeting"/>
    <x v="5"/>
    <s v="London, UK"/>
    <n v="0"/>
    <n v="75"/>
    <n v="0"/>
    <n v="0"/>
    <n v="0"/>
    <s v="Complete"/>
    <n v="0"/>
    <n v="0"/>
    <s v="OK"/>
    <x v="0"/>
  </r>
  <r>
    <s v="T00236"/>
    <d v="2025-08-27T00:00:00"/>
    <n v="2025"/>
    <n v="8"/>
    <s v="August"/>
    <x v="5"/>
    <s v="E159"/>
    <x v="21"/>
    <x v="5"/>
    <s v="Warsaw, Poland"/>
    <x v="4"/>
    <n v="58.11"/>
    <s v="Corporate Card"/>
    <s v="Candidate dinner"/>
    <x v="3"/>
    <s v="Vienna, Austria"/>
    <n v="0"/>
    <n v="75"/>
    <n v="0"/>
    <n v="0"/>
    <n v="0"/>
    <s v="Complete"/>
    <n v="0"/>
    <n v="0"/>
    <s v="OK"/>
    <x v="0"/>
  </r>
  <r>
    <s v="T00147"/>
    <d v="2025-10-22T00:00:00"/>
    <n v="2025"/>
    <n v="10"/>
    <s v="October"/>
    <x v="0"/>
    <s v="E142"/>
    <x v="17"/>
    <x v="3"/>
    <s v="Warsaw, Poland"/>
    <x v="2"/>
    <n v="16.079999999999998"/>
    <s v="Corporate Card"/>
    <s v="Conference attendance"/>
    <x v="1"/>
    <s v="Warsaw, Poland"/>
    <n v="0"/>
    <n v="30"/>
    <n v="0"/>
    <n v="0"/>
    <n v="0"/>
    <s v="Complete"/>
    <n v="0"/>
    <n v="0"/>
    <s v="OK"/>
    <x v="0"/>
  </r>
  <r>
    <s v="T00031"/>
    <d v="2025-07-07T00:00:00"/>
    <n v="2025"/>
    <n v="7"/>
    <s v="July"/>
    <x v="2"/>
    <s v="E111"/>
    <x v="13"/>
    <x v="5"/>
    <s v="Warsaw, Poland"/>
    <x v="0"/>
    <n v="173.53"/>
    <s v="Corporate Card"/>
    <s v="Training"/>
    <x v="1"/>
    <s v="Warsaw, Poland"/>
    <n v="1"/>
    <n v="150"/>
    <n v="23.53"/>
    <n v="0"/>
    <n v="0"/>
    <s v="Complete"/>
    <n v="0"/>
    <n v="0"/>
    <s v="Review"/>
    <x v="4"/>
  </r>
  <r>
    <s v="T00015"/>
    <d v="2025-08-01T00:00:00"/>
    <n v="2025"/>
    <n v="8"/>
    <s v="August"/>
    <x v="5"/>
    <s v="E108"/>
    <x v="22"/>
    <x v="2"/>
    <s v="Warsaw, Poland"/>
    <x v="6"/>
    <n v="654.77"/>
    <s v="Corporate Card"/>
    <s v="Training"/>
    <x v="1"/>
    <s v="Vienna, Austria"/>
    <n v="0"/>
    <n v="800"/>
    <n v="0"/>
    <n v="1"/>
    <n v="654.77"/>
    <s v="Missing Receipt"/>
    <n v="0"/>
    <n v="0"/>
    <s v="Review"/>
    <x v="1"/>
  </r>
  <r>
    <s v="T00127"/>
    <d v="2025-12-10T00:00:00"/>
    <n v="2025"/>
    <n v="12"/>
    <s v="December"/>
    <x v="6"/>
    <s v="E138"/>
    <x v="23"/>
    <x v="2"/>
    <s v="Warsaw, Poland"/>
    <x v="5"/>
    <n v="33.1"/>
    <s v="Corporate Card"/>
    <s v="Conference attendance"/>
    <x v="1"/>
    <s v="Berlin, Germany"/>
    <n v="0"/>
    <n v="50"/>
    <n v="0"/>
    <n v="0"/>
    <n v="0"/>
    <s v="Complete"/>
    <n v="0"/>
    <n v="0"/>
    <s v="OK"/>
    <x v="0"/>
  </r>
  <r>
    <s v="T00026"/>
    <d v="2025-02-28T00:00:00"/>
    <n v="2025"/>
    <n v="2"/>
    <s v="February"/>
    <x v="1"/>
    <s v="E111"/>
    <x v="13"/>
    <x v="5"/>
    <s v="Warsaw, Poland"/>
    <x v="6"/>
    <n v="443.25"/>
    <s v="Corporate Card"/>
    <s v="Business trip"/>
    <x v="0"/>
    <s v="Prague, Czech Republic"/>
    <n v="0"/>
    <n v="800"/>
    <n v="0"/>
    <n v="0"/>
    <n v="0"/>
    <s v="Complete"/>
    <n v="0"/>
    <n v="0"/>
    <s v="OK"/>
    <x v="0"/>
  </r>
  <r>
    <s v="T00228"/>
    <d v="2025-05-14T00:00:00"/>
    <n v="2025"/>
    <n v="5"/>
    <s v="May"/>
    <x v="7"/>
    <s v="E157"/>
    <x v="2"/>
    <x v="1"/>
    <s v="Warsaw, Poland"/>
    <x v="5"/>
    <n v="56.97"/>
    <s v="Corporate Card"/>
    <s v="Supplier meeting"/>
    <x v="5"/>
    <s v="Vienna, Austria"/>
    <n v="1"/>
    <n v="50"/>
    <n v="6.97"/>
    <n v="0"/>
    <n v="0"/>
    <s v="Complete"/>
    <n v="0"/>
    <n v="0"/>
    <s v="Review"/>
    <x v="4"/>
  </r>
  <r>
    <s v="T00183"/>
    <d v="2025-01-24T00:00:00"/>
    <n v="2025"/>
    <n v="1"/>
    <s v="January"/>
    <x v="11"/>
    <s v="E157"/>
    <x v="2"/>
    <x v="1"/>
    <s v="Warsaw, Poland"/>
    <x v="3"/>
    <n v="33.74"/>
    <s v="Corporate Card"/>
    <s v="Airport transfer"/>
    <x v="0"/>
    <s v="Warsaw, Poland"/>
    <n v="0"/>
    <n v="75"/>
    <n v="0"/>
    <n v="0"/>
    <n v="0"/>
    <s v="Complete"/>
    <n v="0"/>
    <n v="0"/>
    <s v="OK"/>
    <x v="0"/>
  </r>
  <r>
    <s v="T00122"/>
    <d v="2025-09-29T00:00:00"/>
    <n v="2025"/>
    <n v="9"/>
    <s v="September"/>
    <x v="8"/>
    <s v="E135"/>
    <x v="7"/>
    <x v="5"/>
    <s v="Warsaw, Poland"/>
    <x v="1"/>
    <n v="282.31"/>
    <s v="Corporate Card"/>
    <s v="Training"/>
    <x v="1"/>
    <s v="Wroclaw, Poland"/>
    <n v="0"/>
    <n v="300"/>
    <n v="0"/>
    <n v="0"/>
    <n v="0"/>
    <s v="Complete"/>
    <n v="0"/>
    <n v="0"/>
    <s v="OK"/>
    <x v="0"/>
  </r>
  <r>
    <s v="T00207"/>
    <d v="2025-06-14T00:00:00"/>
    <n v="2025"/>
    <n v="6"/>
    <s v="June"/>
    <x v="4"/>
    <s v="E157"/>
    <x v="2"/>
    <x v="1"/>
    <s v="Warsaw, Poland"/>
    <x v="3"/>
    <n v="56.7"/>
    <s v="Personal Card"/>
    <s v="Client meeting"/>
    <x v="2"/>
    <s v="Prague, Czech Republic"/>
    <n v="0"/>
    <n v="75"/>
    <n v="0"/>
    <n v="0"/>
    <n v="0"/>
    <s v="Complete"/>
    <n v="1"/>
    <n v="56.7"/>
    <s v="Review"/>
    <x v="2"/>
  </r>
  <r>
    <s v="T00249"/>
    <d v="2025-11-07T00:00:00"/>
    <n v="2025"/>
    <n v="11"/>
    <s v="November"/>
    <x v="9"/>
    <s v="E163"/>
    <x v="24"/>
    <x v="1"/>
    <s v="Berlin, Germany"/>
    <x v="0"/>
    <n v="71.73"/>
    <s v="Corporate Card"/>
    <s v="Project workshop"/>
    <x v="4"/>
    <s v="Frankfurt, Germany"/>
    <n v="0"/>
    <n v="150"/>
    <n v="0"/>
    <n v="0"/>
    <n v="0"/>
    <s v="Complete"/>
    <n v="0"/>
    <n v="0"/>
    <s v="OK"/>
    <x v="0"/>
  </r>
  <r>
    <s v="T00138"/>
    <d v="2025-11-07T00:00:00"/>
    <n v="2025"/>
    <n v="11"/>
    <s v="November"/>
    <x v="9"/>
    <s v="E141"/>
    <x v="20"/>
    <x v="5"/>
    <s v="Berlin, Germany"/>
    <x v="6"/>
    <n v="563.78"/>
    <s v="Corporate Card"/>
    <s v="Business trip"/>
    <x v="0"/>
    <s v="Vienna, Austria"/>
    <n v="0"/>
    <n v="800"/>
    <n v="0"/>
    <n v="0"/>
    <n v="0"/>
    <s v="Complete"/>
    <n v="0"/>
    <n v="0"/>
    <s v="OK"/>
    <x v="0"/>
  </r>
  <r>
    <s v="T00034"/>
    <d v="2025-12-04T00:00:00"/>
    <n v="2025"/>
    <n v="12"/>
    <s v="December"/>
    <x v="6"/>
    <s v="E111"/>
    <x v="13"/>
    <x v="5"/>
    <s v="Warsaw, Poland"/>
    <x v="5"/>
    <n v="38.549999999999997"/>
    <s v="Personal Card"/>
    <s v="Internal meeting"/>
    <x v="3"/>
    <s v="Vienna, Austria"/>
    <n v="0"/>
    <n v="50"/>
    <n v="0"/>
    <n v="0"/>
    <n v="0"/>
    <s v="Complete"/>
    <n v="1"/>
    <n v="38.549999999999997"/>
    <s v="Review"/>
    <x v="2"/>
  </r>
  <r>
    <s v="T00282"/>
    <d v="2025-12-10T00:00:00"/>
    <n v="2025"/>
    <n v="12"/>
    <s v="December"/>
    <x v="6"/>
    <s v="E170"/>
    <x v="9"/>
    <x v="0"/>
    <s v="Warsaw, Poland"/>
    <x v="4"/>
    <n v="30.02"/>
    <s v="Personal Card"/>
    <s v="Team dinner"/>
    <x v="3"/>
    <s v="Paris, France"/>
    <n v="0"/>
    <n v="75"/>
    <n v="0"/>
    <n v="0"/>
    <n v="0"/>
    <s v="Complete"/>
    <n v="1"/>
    <n v="30.02"/>
    <s v="Review"/>
    <x v="2"/>
  </r>
  <r>
    <s v="T00248"/>
    <d v="2025-01-30T00:00:00"/>
    <n v="2025"/>
    <n v="1"/>
    <s v="January"/>
    <x v="11"/>
    <s v="E161"/>
    <x v="25"/>
    <x v="4"/>
    <s v="Berlin, Germany"/>
    <x v="6"/>
    <n v="405.04"/>
    <s v="Personal Card"/>
    <s v="Sales visit"/>
    <x v="2"/>
    <s v="Hamburg, Germany"/>
    <n v="0"/>
    <n v="800"/>
    <n v="0"/>
    <n v="0"/>
    <n v="0"/>
    <s v="Complete"/>
    <n v="1"/>
    <n v="405.04"/>
    <s v="Review"/>
    <x v="2"/>
  </r>
  <r>
    <s v="T00101"/>
    <d v="2025-08-22T00:00:00"/>
    <n v="2025"/>
    <n v="8"/>
    <s v="August"/>
    <x v="5"/>
    <s v="E125"/>
    <x v="26"/>
    <x v="4"/>
    <s v="London, UK"/>
    <x v="1"/>
    <n v="338.51"/>
    <s v="Personal Card"/>
    <s v="Conference attendance"/>
    <x v="1"/>
    <s v="Amsterdam, Netherlands"/>
    <n v="1"/>
    <n v="300"/>
    <n v="38.51"/>
    <n v="0"/>
    <n v="0"/>
    <s v="Complete"/>
    <n v="1"/>
    <n v="338.51"/>
    <s v="Review"/>
    <x v="6"/>
  </r>
  <r>
    <s v="T00188"/>
    <d v="2025-11-17T00:00:00"/>
    <n v="2025"/>
    <n v="11"/>
    <s v="November"/>
    <x v="9"/>
    <s v="E157"/>
    <x v="2"/>
    <x v="1"/>
    <s v="Warsaw, Poland"/>
    <x v="1"/>
    <n v="141.4"/>
    <s v="Corporate Card"/>
    <s v="Business trip"/>
    <x v="0"/>
    <s v="Vienna, Austria"/>
    <n v="0"/>
    <n v="300"/>
    <n v="0"/>
    <n v="0"/>
    <n v="0"/>
    <s v="Complete"/>
    <n v="0"/>
    <n v="0"/>
    <s v="OK"/>
    <x v="0"/>
  </r>
  <r>
    <s v="T00269"/>
    <d v="2025-08-06T00:00:00"/>
    <n v="2025"/>
    <n v="8"/>
    <s v="August"/>
    <x v="5"/>
    <s v="E169"/>
    <x v="15"/>
    <x v="1"/>
    <s v="London, UK"/>
    <x v="4"/>
    <n v="43.19"/>
    <s v="Corporate Card"/>
    <s v="Business trip"/>
    <x v="0"/>
    <s v="Dublin, Ireland"/>
    <n v="0"/>
    <n v="75"/>
    <n v="0"/>
    <n v="0"/>
    <n v="0"/>
    <s v="Complete"/>
    <n v="0"/>
    <n v="0"/>
    <s v="OK"/>
    <x v="0"/>
  </r>
  <r>
    <s v="T00144"/>
    <d v="2025-12-12T00:00:00"/>
    <n v="2025"/>
    <n v="12"/>
    <s v="December"/>
    <x v="6"/>
    <s v="E141"/>
    <x v="20"/>
    <x v="5"/>
    <s v="Berlin, Germany"/>
    <x v="0"/>
    <n v="45.4"/>
    <s v="Personal Card"/>
    <s v="Business trip"/>
    <x v="0"/>
    <s v="Hamburg, Germany"/>
    <n v="0"/>
    <n v="150"/>
    <n v="0"/>
    <n v="0"/>
    <n v="0"/>
    <s v="Complete"/>
    <n v="1"/>
    <n v="45.4"/>
    <s v="Review"/>
    <x v="2"/>
  </r>
  <r>
    <s v="T00246"/>
    <d v="2025-10-24T00:00:00"/>
    <n v="2025"/>
    <n v="10"/>
    <s v="October"/>
    <x v="0"/>
    <s v="E161"/>
    <x v="25"/>
    <x v="4"/>
    <s v="Berlin, Germany"/>
    <x v="4"/>
    <n v="67.89"/>
    <s v="Personal Card"/>
    <s v="Client dinner"/>
    <x v="2"/>
    <s v="Prague, Czech Republic"/>
    <n v="0"/>
    <n v="75"/>
    <n v="0"/>
    <n v="0"/>
    <n v="0"/>
    <s v="Complete"/>
    <n v="1"/>
    <n v="67.89"/>
    <s v="Review"/>
    <x v="2"/>
  </r>
  <r>
    <s v="T00250"/>
    <d v="2025-08-25T00:00:00"/>
    <n v="2025"/>
    <n v="8"/>
    <s v="August"/>
    <x v="5"/>
    <s v="E163"/>
    <x v="24"/>
    <x v="1"/>
    <s v="Berlin, Germany"/>
    <x v="2"/>
    <n v="20.9"/>
    <s v="Corporate Card"/>
    <s v="Travel to customer site"/>
    <x v="0"/>
    <s v="Warsaw, Poland"/>
    <n v="0"/>
    <n v="30"/>
    <n v="0"/>
    <n v="1"/>
    <n v="20.9"/>
    <s v="Missing Receipt"/>
    <n v="0"/>
    <n v="0"/>
    <s v="Review"/>
    <x v="1"/>
  </r>
  <r>
    <s v="T00206"/>
    <d v="2025-09-09T00:00:00"/>
    <n v="2025"/>
    <n v="9"/>
    <s v="September"/>
    <x v="8"/>
    <s v="E157"/>
    <x v="2"/>
    <x v="1"/>
    <s v="Warsaw, Poland"/>
    <x v="3"/>
    <n v="31.28"/>
    <s v="Corporate Card"/>
    <s v="Late return from client meeting"/>
    <x v="2"/>
    <s v="Vienna, Austria"/>
    <n v="0"/>
    <n v="75"/>
    <n v="0"/>
    <n v="0"/>
    <n v="0"/>
    <s v="Complete"/>
    <n v="0"/>
    <n v="0"/>
    <s v="OK"/>
    <x v="0"/>
  </r>
  <r>
    <s v="T00143"/>
    <d v="2025-03-21T00:00:00"/>
    <n v="2025"/>
    <n v="3"/>
    <s v="March"/>
    <x v="10"/>
    <s v="E141"/>
    <x v="20"/>
    <x v="5"/>
    <s v="Berlin, Germany"/>
    <x v="4"/>
    <n v="80.650000000000006"/>
    <s v="Corporate Card"/>
    <s v="HR workshop"/>
    <x v="1"/>
    <s v="Munich, Germany"/>
    <n v="1"/>
    <n v="75"/>
    <n v="5.65"/>
    <n v="0"/>
    <n v="0"/>
    <s v="Complete"/>
    <n v="0"/>
    <n v="0"/>
    <s v="Review"/>
    <x v="4"/>
  </r>
  <r>
    <s v="T00097"/>
    <d v="2025-03-19T00:00:00"/>
    <n v="2025"/>
    <n v="3"/>
    <s v="March"/>
    <x v="10"/>
    <s v="E123"/>
    <x v="18"/>
    <x v="5"/>
    <s v="Berlin, Germany"/>
    <x v="5"/>
    <n v="18.12"/>
    <s v="Corporate Card"/>
    <s v="Internal meeting"/>
    <x v="3"/>
    <s v="Vienna, Austria"/>
    <n v="0"/>
    <n v="50"/>
    <n v="0"/>
    <n v="1"/>
    <n v="18.12"/>
    <s v="Missing Receipt"/>
    <n v="0"/>
    <n v="0"/>
    <s v="Review"/>
    <x v="1"/>
  </r>
  <r>
    <s v="T00048"/>
    <d v="2025-08-01T00:00:00"/>
    <n v="2025"/>
    <n v="8"/>
    <s v="August"/>
    <x v="5"/>
    <s v="E114"/>
    <x v="12"/>
    <x v="2"/>
    <s v="London, UK"/>
    <x v="0"/>
    <n v="173.25"/>
    <s v="Personal Card"/>
    <s v="Supplier meeting"/>
    <x v="5"/>
    <s v="Manchester, UK"/>
    <n v="1"/>
    <n v="150"/>
    <n v="23.25"/>
    <n v="0"/>
    <n v="0"/>
    <s v="Complete"/>
    <n v="1"/>
    <n v="173.25"/>
    <s v="Review"/>
    <x v="6"/>
  </r>
  <r>
    <s v="T00262"/>
    <d v="2025-02-25T00:00:00"/>
    <n v="2025"/>
    <n v="2"/>
    <s v="February"/>
    <x v="1"/>
    <s v="E169"/>
    <x v="15"/>
    <x v="1"/>
    <s v="London, UK"/>
    <x v="4"/>
    <n v="88.99"/>
    <s v="Corporate Card"/>
    <s v="Client dinner"/>
    <x v="2"/>
    <s v="Manchester, UK"/>
    <n v="1"/>
    <n v="75"/>
    <n v="13.99"/>
    <n v="0"/>
    <n v="0"/>
    <s v="Complete"/>
    <n v="0"/>
    <n v="0"/>
    <s v="Review"/>
    <x v="4"/>
  </r>
  <r>
    <s v="T00213"/>
    <d v="2025-05-28T00:00:00"/>
    <n v="2025"/>
    <n v="5"/>
    <s v="May"/>
    <x v="7"/>
    <s v="E157"/>
    <x v="2"/>
    <x v="1"/>
    <s v="Warsaw, Poland"/>
    <x v="6"/>
    <n v="388"/>
    <s v="Corporate Card"/>
    <s v="Conference attendance"/>
    <x v="1"/>
    <s v="Prague, Czech Republic"/>
    <n v="0"/>
    <n v="800"/>
    <n v="0"/>
    <n v="0"/>
    <n v="0"/>
    <s v="Complete"/>
    <n v="0"/>
    <n v="0"/>
    <s v="OK"/>
    <x v="0"/>
  </r>
  <r>
    <s v="T00301"/>
    <d v="2025-10-27T00:00:00"/>
    <n v="2025"/>
    <n v="10"/>
    <s v="October"/>
    <x v="0"/>
    <s v="E171"/>
    <x v="27"/>
    <x v="5"/>
    <s v="London, UK"/>
    <x v="1"/>
    <n v="122.21"/>
    <s v="Corporate Card"/>
    <s v="Training"/>
    <x v="1"/>
    <s v="Edinburgh, UK"/>
    <n v="0"/>
    <n v="300"/>
    <n v="0"/>
    <n v="1"/>
    <n v="122.21"/>
    <s v="Missing Receipt"/>
    <n v="0"/>
    <n v="0"/>
    <s v="Review"/>
    <x v="1"/>
  </r>
  <r>
    <s v="T00107"/>
    <d v="2025-10-13T00:00:00"/>
    <n v="2025"/>
    <n v="10"/>
    <s v="October"/>
    <x v="0"/>
    <s v="E127"/>
    <x v="28"/>
    <x v="1"/>
    <s v="Warsaw, Poland"/>
    <x v="3"/>
    <n v="49.24"/>
    <s v="Corporate Card"/>
    <s v="Airport transfer"/>
    <x v="0"/>
    <s v="Gdansk, Poland"/>
    <n v="0"/>
    <n v="75"/>
    <n v="0"/>
    <n v="0"/>
    <n v="0"/>
    <s v="Complete"/>
    <n v="0"/>
    <n v="0"/>
    <s v="OK"/>
    <x v="0"/>
  </r>
  <r>
    <s v="T00058"/>
    <d v="2025-09-03T00:00:00"/>
    <n v="2025"/>
    <n v="9"/>
    <s v="September"/>
    <x v="8"/>
    <s v="E115"/>
    <x v="29"/>
    <x v="1"/>
    <s v="Berlin, Germany"/>
    <x v="4"/>
    <n v="54.18"/>
    <s v="Corporate Card"/>
    <s v="Campaign planning dinner"/>
    <x v="4"/>
    <s v="Berlin, Germany"/>
    <n v="0"/>
    <n v="75"/>
    <n v="0"/>
    <n v="0"/>
    <n v="0"/>
    <s v="Complete"/>
    <n v="0"/>
    <n v="0"/>
    <s v="OK"/>
    <x v="0"/>
  </r>
  <r>
    <s v="T00022"/>
    <d v="2025-05-09T00:00:00"/>
    <n v="2025"/>
    <n v="5"/>
    <s v="May"/>
    <x v="7"/>
    <s v="E109"/>
    <x v="30"/>
    <x v="1"/>
    <s v="Berlin, Germany"/>
    <x v="4"/>
    <n v="44.31"/>
    <s v="Corporate Card"/>
    <s v="Agency dinner"/>
    <x v="5"/>
    <s v="Prague, Czech Republic"/>
    <n v="0"/>
    <n v="75"/>
    <n v="0"/>
    <n v="0"/>
    <n v="0"/>
    <s v="Complete"/>
    <n v="0"/>
    <n v="0"/>
    <s v="OK"/>
    <x v="0"/>
  </r>
  <r>
    <s v="T00118"/>
    <d v="2025-10-07T00:00:00"/>
    <n v="2025"/>
    <n v="10"/>
    <s v="October"/>
    <x v="0"/>
    <s v="E134"/>
    <x v="31"/>
    <x v="0"/>
    <s v="Berlin, Germany"/>
    <x v="5"/>
    <n v="41.19"/>
    <s v="Corporate Card"/>
    <s v="Audit meeting"/>
    <x v="4"/>
    <s v="Berlin, Germany"/>
    <n v="0"/>
    <n v="50"/>
    <n v="0"/>
    <n v="0"/>
    <n v="0"/>
    <s v="Complete"/>
    <n v="0"/>
    <n v="0"/>
    <s v="OK"/>
    <x v="0"/>
  </r>
  <r>
    <s v="T00113"/>
    <d v="2025-08-22T00:00:00"/>
    <n v="2025"/>
    <n v="8"/>
    <s v="August"/>
    <x v="5"/>
    <s v="E133"/>
    <x v="32"/>
    <x v="1"/>
    <s v="London, UK"/>
    <x v="1"/>
    <n v="234.67"/>
    <s v="Corporate Card"/>
    <s v="Project workshop"/>
    <x v="4"/>
    <s v="Edinburgh, UK"/>
    <n v="0"/>
    <n v="300"/>
    <n v="0"/>
    <n v="0"/>
    <n v="0"/>
    <s v="Complete"/>
    <n v="0"/>
    <n v="0"/>
    <s v="OK"/>
    <x v="0"/>
  </r>
  <r>
    <s v="T00124"/>
    <d v="2025-11-06T00:00:00"/>
    <n v="2025"/>
    <n v="11"/>
    <s v="November"/>
    <x v="9"/>
    <s v="E137"/>
    <x v="33"/>
    <x v="4"/>
    <s v="Berlin, Germany"/>
    <x v="0"/>
    <n v="116.04"/>
    <s v="Corporate Card"/>
    <s v="Project workshop"/>
    <x v="4"/>
    <s v="Frankfurt, Germany"/>
    <n v="0"/>
    <n v="150"/>
    <n v="0"/>
    <n v="0"/>
    <n v="0"/>
    <s v="Complete"/>
    <n v="0"/>
    <n v="0"/>
    <s v="OK"/>
    <x v="0"/>
  </r>
  <r>
    <s v="T00054"/>
    <d v="2025-05-12T00:00:00"/>
    <n v="2025"/>
    <n v="5"/>
    <s v="May"/>
    <x v="7"/>
    <s v="E114"/>
    <x v="12"/>
    <x v="2"/>
    <s v="London, UK"/>
    <x v="5"/>
    <n v="52.9"/>
    <s v="Corporate Card"/>
    <s v="Customer workshop"/>
    <x v="2"/>
    <s v="London, UK"/>
    <n v="1"/>
    <n v="50"/>
    <n v="2.9"/>
    <n v="0"/>
    <n v="0"/>
    <s v="Complete"/>
    <n v="0"/>
    <n v="0"/>
    <s v="Review"/>
    <x v="4"/>
  </r>
  <r>
    <s v="T00208"/>
    <d v="2025-05-09T00:00:00"/>
    <n v="2025"/>
    <n v="5"/>
    <s v="May"/>
    <x v="7"/>
    <s v="E157"/>
    <x v="2"/>
    <x v="1"/>
    <s v="Warsaw, Poland"/>
    <x v="3"/>
    <n v="37.520000000000003"/>
    <s v="Corporate Card"/>
    <s v="Travel between offices"/>
    <x v="0"/>
    <s v="Prague, Czech Republic"/>
    <n v="0"/>
    <n v="75"/>
    <n v="0"/>
    <n v="0"/>
    <n v="0"/>
    <s v="Complete"/>
    <n v="0"/>
    <n v="0"/>
    <s v="OK"/>
    <x v="0"/>
  </r>
  <r>
    <s v="T00245"/>
    <d v="2025-04-23T00:00:00"/>
    <n v="2025"/>
    <n v="4"/>
    <s v="April"/>
    <x v="3"/>
    <s v="E161"/>
    <x v="25"/>
    <x v="4"/>
    <s v="Berlin, Germany"/>
    <x v="3"/>
    <n v="41.87"/>
    <s v="Corporate Card"/>
    <s v="Conference attendance"/>
    <x v="1"/>
    <s v="Warsaw, Poland"/>
    <n v="0"/>
    <n v="75"/>
    <n v="0"/>
    <n v="0"/>
    <n v="0"/>
    <s v="Complete"/>
    <n v="0"/>
    <n v="0"/>
    <s v="OK"/>
    <x v="0"/>
  </r>
  <r>
    <s v="T00135"/>
    <d v="2025-01-27T00:00:00"/>
    <n v="2025"/>
    <n v="1"/>
    <s v="January"/>
    <x v="11"/>
    <s v="E140"/>
    <x v="16"/>
    <x v="0"/>
    <s v="London, UK"/>
    <x v="2"/>
    <n v="35.51"/>
    <s v="Personal Card"/>
    <s v="Business trip"/>
    <x v="0"/>
    <s v="Manchester, UK"/>
    <n v="1"/>
    <n v="30"/>
    <n v="5.51"/>
    <n v="0"/>
    <n v="0"/>
    <s v="Complete"/>
    <n v="1"/>
    <n v="35.51"/>
    <s v="Review"/>
    <x v="6"/>
  </r>
  <r>
    <s v="T00084"/>
    <d v="2025-05-27T00:00:00"/>
    <n v="2025"/>
    <n v="5"/>
    <s v="May"/>
    <x v="7"/>
    <s v="E122"/>
    <x v="34"/>
    <x v="0"/>
    <s v="Warsaw, Poland"/>
    <x v="5"/>
    <n v="41.6"/>
    <s v="Corporate Card"/>
    <s v="Supplier meeting"/>
    <x v="5"/>
    <s v="Gdansk, Poland"/>
    <n v="0"/>
    <n v="50"/>
    <n v="0"/>
    <n v="0"/>
    <n v="0"/>
    <s v="Complete"/>
    <n v="0"/>
    <n v="0"/>
    <s v="OK"/>
    <x v="0"/>
  </r>
  <r>
    <s v="T00158"/>
    <d v="2025-01-28T00:00:00"/>
    <n v="2025"/>
    <n v="1"/>
    <s v="January"/>
    <x v="11"/>
    <s v="E143"/>
    <x v="5"/>
    <x v="4"/>
    <s v="London, UK"/>
    <x v="3"/>
    <n v="42.88"/>
    <s v="Personal Card"/>
    <s v="Customer visit"/>
    <x v="2"/>
    <s v="Edinburgh, UK"/>
    <n v="0"/>
    <n v="75"/>
    <n v="0"/>
    <n v="0"/>
    <n v="0"/>
    <s v="Complete"/>
    <n v="1"/>
    <n v="42.88"/>
    <s v="Review"/>
    <x v="2"/>
  </r>
  <r>
    <s v="T00227"/>
    <d v="2025-06-03T00:00:00"/>
    <n v="2025"/>
    <n v="6"/>
    <s v="June"/>
    <x v="4"/>
    <s v="E157"/>
    <x v="2"/>
    <x v="1"/>
    <s v="Warsaw, Poland"/>
    <x v="4"/>
    <n v="27.01"/>
    <s v="Corporate Card"/>
    <s v="Business trip"/>
    <x v="0"/>
    <s v="Wroclaw, Poland"/>
    <n v="0"/>
    <n v="75"/>
    <n v="0"/>
    <n v="0"/>
    <n v="0"/>
    <s v="Complete"/>
    <n v="0"/>
    <n v="0"/>
    <s v="OK"/>
    <x v="0"/>
  </r>
  <r>
    <s v="T00198"/>
    <d v="2025-05-09T00:00:00"/>
    <n v="2025"/>
    <n v="5"/>
    <s v="May"/>
    <x v="7"/>
    <s v="E157"/>
    <x v="2"/>
    <x v="1"/>
    <s v="Warsaw, Poland"/>
    <x v="2"/>
    <n v="24.24"/>
    <s v="Corporate Card"/>
    <s v="Business trip"/>
    <x v="0"/>
    <s v="Krakow, Poland"/>
    <n v="0"/>
    <n v="30"/>
    <n v="0"/>
    <n v="0"/>
    <n v="0"/>
    <s v="Complete"/>
    <n v="0"/>
    <n v="0"/>
    <s v="OK"/>
    <x v="0"/>
  </r>
  <r>
    <s v="T00205"/>
    <d v="2025-09-02T00:00:00"/>
    <n v="2025"/>
    <n v="9"/>
    <s v="September"/>
    <x v="8"/>
    <s v="E157"/>
    <x v="2"/>
    <x v="1"/>
    <s v="Warsaw, Poland"/>
    <x v="6"/>
    <n v="647.30999999999995"/>
    <s v="Corporate Card"/>
    <s v="Training"/>
    <x v="1"/>
    <s v="London, UK"/>
    <n v="0"/>
    <n v="800"/>
    <n v="0"/>
    <n v="0"/>
    <n v="0"/>
    <s v="Complete"/>
    <n v="0"/>
    <n v="0"/>
    <s v="OK"/>
    <x v="0"/>
  </r>
  <r>
    <s v="T00204"/>
    <d v="2025-10-01T00:00:00"/>
    <n v="2025"/>
    <n v="10"/>
    <s v="October"/>
    <x v="0"/>
    <s v="E157"/>
    <x v="2"/>
    <x v="1"/>
    <s v="Warsaw, Poland"/>
    <x v="6"/>
    <n v="489.71"/>
    <s v="Personal Card"/>
    <s v="Client visit"/>
    <x v="2"/>
    <s v="Vienna, Austria"/>
    <n v="0"/>
    <n v="800"/>
    <n v="0"/>
    <n v="0"/>
    <n v="0"/>
    <s v="Complete"/>
    <n v="1"/>
    <n v="489.71"/>
    <s v="Review"/>
    <x v="2"/>
  </r>
  <r>
    <s v="T00137"/>
    <d v="2025-07-10T00:00:00"/>
    <n v="2025"/>
    <n v="7"/>
    <s v="July"/>
    <x v="2"/>
    <s v="E141"/>
    <x v="20"/>
    <x v="5"/>
    <s v="Berlin, Germany"/>
    <x v="1"/>
    <n v="354.38"/>
    <s v="Corporate Card"/>
    <s v="Business trip"/>
    <x v="0"/>
    <s v="Frankfurt, Germany"/>
    <n v="1"/>
    <n v="300"/>
    <n v="54.38"/>
    <n v="0"/>
    <n v="0"/>
    <s v="Complete"/>
    <n v="0"/>
    <n v="0"/>
    <s v="Review"/>
    <x v="4"/>
  </r>
  <r>
    <s v="T00146"/>
    <d v="2025-08-01T00:00:00"/>
    <n v="2025"/>
    <n v="8"/>
    <s v="August"/>
    <x v="5"/>
    <s v="E142"/>
    <x v="17"/>
    <x v="3"/>
    <s v="Warsaw, Poland"/>
    <x v="4"/>
    <n v="49.47"/>
    <s v="Corporate Card"/>
    <s v="Business trip"/>
    <x v="0"/>
    <s v="Prague, Czech Republic"/>
    <n v="0"/>
    <n v="75"/>
    <n v="0"/>
    <n v="0"/>
    <n v="0"/>
    <s v="Complete"/>
    <n v="0"/>
    <n v="0"/>
    <s v="OK"/>
    <x v="0"/>
  </r>
  <r>
    <s v="T00021"/>
    <d v="2025-01-16T00:00:00"/>
    <n v="2025"/>
    <n v="1"/>
    <s v="January"/>
    <x v="11"/>
    <s v="E109"/>
    <x v="30"/>
    <x v="1"/>
    <s v="Berlin, Germany"/>
    <x v="4"/>
    <n v="78.28"/>
    <s v="Corporate Card"/>
    <s v="Agency dinner"/>
    <x v="5"/>
    <s v="Prague, Czech Republic"/>
    <n v="1"/>
    <n v="75"/>
    <n v="3.28"/>
    <n v="0"/>
    <n v="0"/>
    <s v="Complete"/>
    <n v="0"/>
    <n v="0"/>
    <s v="Review"/>
    <x v="4"/>
  </r>
  <r>
    <s v="T00243"/>
    <d v="2025-11-26T00:00:00"/>
    <n v="2025"/>
    <n v="11"/>
    <s v="November"/>
    <x v="9"/>
    <s v="E159"/>
    <x v="21"/>
    <x v="5"/>
    <s v="Warsaw, Poland"/>
    <x v="2"/>
    <n v="23.35"/>
    <s v="Corporate Card"/>
    <s v="Internal meeting"/>
    <x v="3"/>
    <s v="Vienna, Austria"/>
    <n v="0"/>
    <n v="30"/>
    <n v="0"/>
    <n v="0"/>
    <n v="0"/>
    <s v="Complete"/>
    <n v="0"/>
    <n v="0"/>
    <s v="OK"/>
    <x v="0"/>
  </r>
  <r>
    <s v="T00276"/>
    <d v="2025-04-18T00:00:00"/>
    <n v="2025"/>
    <n v="4"/>
    <s v="April"/>
    <x v="3"/>
    <s v="E169"/>
    <x v="15"/>
    <x v="1"/>
    <s v="London, UK"/>
    <x v="4"/>
    <n v="85.79"/>
    <s v="Personal Card"/>
    <s v="Customer workshop"/>
    <x v="2"/>
    <s v="London, UK"/>
    <n v="1"/>
    <n v="75"/>
    <n v="10.79"/>
    <n v="0"/>
    <n v="0"/>
    <s v="Complete"/>
    <n v="1"/>
    <n v="85.79"/>
    <s v="Review"/>
    <x v="6"/>
  </r>
  <r>
    <s v="T00169"/>
    <d v="2025-10-23T00:00:00"/>
    <n v="2025"/>
    <n v="10"/>
    <s v="October"/>
    <x v="0"/>
    <s v="E149"/>
    <x v="14"/>
    <x v="4"/>
    <s v="Warsaw, Poland"/>
    <x v="0"/>
    <n v="180.08"/>
    <s v="Corporate Card"/>
    <s v="Business trip"/>
    <x v="0"/>
    <s v="Krakow, Poland"/>
    <n v="1"/>
    <n v="150"/>
    <n v="30.08"/>
    <n v="0"/>
    <n v="0"/>
    <s v="Complete"/>
    <n v="0"/>
    <n v="0"/>
    <s v="Review"/>
    <x v="4"/>
  </r>
  <r>
    <s v="T00039"/>
    <d v="2025-06-24T00:00:00"/>
    <n v="2025"/>
    <n v="6"/>
    <s v="June"/>
    <x v="4"/>
    <s v="E113"/>
    <x v="35"/>
    <x v="4"/>
    <s v="Warsaw, Poland"/>
    <x v="2"/>
    <n v="15.21"/>
    <s v="Personal Card"/>
    <s v="Early client workshop"/>
    <x v="2"/>
    <s v="Berlin, Germany"/>
    <n v="0"/>
    <n v="30"/>
    <n v="0"/>
    <n v="1"/>
    <n v="15.21"/>
    <s v="Missing Receipt"/>
    <n v="1"/>
    <n v="15.21"/>
    <s v="Review"/>
    <x v="3"/>
  </r>
  <r>
    <s v="T00095"/>
    <d v="2025-09-17T00:00:00"/>
    <n v="2025"/>
    <n v="9"/>
    <s v="September"/>
    <x v="8"/>
    <s v="E123"/>
    <x v="18"/>
    <x v="5"/>
    <s v="Berlin, Germany"/>
    <x v="5"/>
    <n v="55.82"/>
    <s v="Corporate Card"/>
    <s v="Internal meeting"/>
    <x v="3"/>
    <s v="Berlin, Germany"/>
    <n v="1"/>
    <n v="50"/>
    <n v="5.82"/>
    <n v="0"/>
    <n v="0"/>
    <s v="Complete"/>
    <n v="0"/>
    <n v="0"/>
    <s v="Review"/>
    <x v="4"/>
  </r>
  <r>
    <s v="T00281"/>
    <d v="2025-03-28T00:00:00"/>
    <n v="2025"/>
    <n v="3"/>
    <s v="March"/>
    <x v="10"/>
    <s v="E170"/>
    <x v="9"/>
    <x v="0"/>
    <s v="Warsaw, Poland"/>
    <x v="2"/>
    <n v="36.94"/>
    <s v="Corporate Card"/>
    <s v="Early client workshop"/>
    <x v="2"/>
    <s v="Paris, France"/>
    <n v="1"/>
    <n v="30"/>
    <n v="6.94"/>
    <n v="0"/>
    <n v="0"/>
    <s v="Complete"/>
    <n v="0"/>
    <n v="0"/>
    <s v="Review"/>
    <x v="4"/>
  </r>
  <r>
    <s v="T00253"/>
    <d v="2025-06-17T00:00:00"/>
    <n v="2025"/>
    <n v="6"/>
    <s v="June"/>
    <x v="4"/>
    <s v="E167"/>
    <x v="36"/>
    <x v="4"/>
    <s v="Warsaw, Poland"/>
    <x v="1"/>
    <n v="274.11"/>
    <s v="Corporate Card"/>
    <s v="Conference attendance"/>
    <x v="1"/>
    <s v="Vienna, Austria"/>
    <n v="0"/>
    <n v="300"/>
    <n v="0"/>
    <n v="0"/>
    <n v="0"/>
    <s v="Complete"/>
    <n v="0"/>
    <n v="0"/>
    <s v="OK"/>
    <x v="0"/>
  </r>
  <r>
    <s v="T00027"/>
    <d v="2025-08-14T00:00:00"/>
    <n v="2025"/>
    <n v="8"/>
    <s v="August"/>
    <x v="5"/>
    <s v="E111"/>
    <x v="13"/>
    <x v="5"/>
    <s v="Warsaw, Poland"/>
    <x v="6"/>
    <n v="839.55"/>
    <s v="Corporate Card"/>
    <s v="Business trip"/>
    <x v="0"/>
    <s v="Krakow, Poland"/>
    <n v="1"/>
    <n v="800"/>
    <n v="39.549999999999997"/>
    <n v="0"/>
    <n v="0"/>
    <s v="Complete"/>
    <n v="0"/>
    <n v="0"/>
    <s v="Review"/>
    <x v="4"/>
  </r>
  <r>
    <s v="T00172"/>
    <d v="2025-01-14T00:00:00"/>
    <n v="2025"/>
    <n v="1"/>
    <s v="January"/>
    <x v="11"/>
    <s v="E151"/>
    <x v="37"/>
    <x v="1"/>
    <s v="Berlin, Germany"/>
    <x v="1"/>
    <n v="129.5"/>
    <s v="Personal Card"/>
    <s v="Campaign event"/>
    <x v="1"/>
    <s v="Warsaw, Poland"/>
    <n v="0"/>
    <n v="300"/>
    <n v="0"/>
    <n v="0"/>
    <n v="0"/>
    <s v="Complete"/>
    <n v="1"/>
    <n v="129.5"/>
    <s v="Review"/>
    <x v="2"/>
  </r>
  <r>
    <s v="T00109"/>
    <d v="2025-09-23T00:00:00"/>
    <n v="2025"/>
    <n v="9"/>
    <s v="September"/>
    <x v="8"/>
    <s v="E130"/>
    <x v="38"/>
    <x v="3"/>
    <s v="Warsaw, Poland"/>
    <x v="0"/>
    <n v="73.3"/>
    <s v="Corporate Card"/>
    <s v="Project workshop"/>
    <x v="4"/>
    <s v="Prague, Czech Republic"/>
    <n v="0"/>
    <n v="150"/>
    <n v="0"/>
    <n v="0"/>
    <n v="0"/>
    <s v="Complete"/>
    <n v="0"/>
    <n v="0"/>
    <s v="OK"/>
    <x v="0"/>
  </r>
  <r>
    <s v="T00088"/>
    <d v="2025-04-02T00:00:00"/>
    <n v="2025"/>
    <n v="4"/>
    <s v="April"/>
    <x v="3"/>
    <s v="E123"/>
    <x v="18"/>
    <x v="5"/>
    <s v="Berlin, Germany"/>
    <x v="4"/>
    <n v="87.86"/>
    <s v="Corporate Card"/>
    <s v="Business trip"/>
    <x v="0"/>
    <s v="Berlin, Germany"/>
    <n v="1"/>
    <n v="75"/>
    <n v="12.86"/>
    <n v="0"/>
    <n v="0"/>
    <s v="Complete"/>
    <n v="0"/>
    <n v="0"/>
    <s v="Review"/>
    <x v="4"/>
  </r>
  <r>
    <s v="T00242"/>
    <d v="2025-07-11T00:00:00"/>
    <n v="2025"/>
    <n v="7"/>
    <s v="July"/>
    <x v="2"/>
    <s v="E159"/>
    <x v="21"/>
    <x v="5"/>
    <s v="Warsaw, Poland"/>
    <x v="6"/>
    <n v="693.8"/>
    <s v="Personal Card"/>
    <s v="HR conference"/>
    <x v="1"/>
    <s v="Krakow, Poland"/>
    <n v="0"/>
    <n v="800"/>
    <n v="0"/>
    <n v="0"/>
    <n v="0"/>
    <s v="Complete"/>
    <n v="1"/>
    <n v="693.8"/>
    <s v="Review"/>
    <x v="2"/>
  </r>
  <r>
    <s v="T00286"/>
    <d v="2025-04-28T00:00:00"/>
    <n v="2025"/>
    <n v="4"/>
    <s v="April"/>
    <x v="3"/>
    <s v="E170"/>
    <x v="9"/>
    <x v="0"/>
    <s v="Warsaw, Poland"/>
    <x v="6"/>
    <n v="833.8"/>
    <s v="Corporate Card"/>
    <s v="Training"/>
    <x v="1"/>
    <s v="Paris, France"/>
    <n v="1"/>
    <n v="800"/>
    <n v="33.799999999999997"/>
    <n v="1"/>
    <n v="833.8"/>
    <s v="Missing Receipt"/>
    <n v="0"/>
    <n v="0"/>
    <s v="Review"/>
    <x v="7"/>
  </r>
  <r>
    <s v="T00159"/>
    <d v="2025-03-11T00:00:00"/>
    <n v="2025"/>
    <n v="3"/>
    <s v="March"/>
    <x v="10"/>
    <s v="E143"/>
    <x v="5"/>
    <x v="4"/>
    <s v="London, UK"/>
    <x v="1"/>
    <n v="203.7"/>
    <s v="Corporate Card"/>
    <s v="Sales visit"/>
    <x v="2"/>
    <s v="London, UK"/>
    <n v="0"/>
    <n v="300"/>
    <n v="0"/>
    <n v="0"/>
    <n v="0"/>
    <s v="Complete"/>
    <n v="0"/>
    <n v="0"/>
    <s v="OK"/>
    <x v="0"/>
  </r>
  <r>
    <s v="T00256"/>
    <d v="2025-07-22T00:00:00"/>
    <n v="2025"/>
    <n v="7"/>
    <s v="July"/>
    <x v="2"/>
    <s v="E167"/>
    <x v="36"/>
    <x v="4"/>
    <s v="Warsaw, Poland"/>
    <x v="4"/>
    <n v="71.88"/>
    <s v="Personal Card"/>
    <s v="Project milestone dinner"/>
    <x v="4"/>
    <s v="Wroclaw, Poland"/>
    <n v="0"/>
    <n v="75"/>
    <n v="0"/>
    <n v="0"/>
    <n v="0"/>
    <s v="Complete"/>
    <n v="1"/>
    <n v="71.88"/>
    <s v="Review"/>
    <x v="2"/>
  </r>
  <r>
    <s v="T00225"/>
    <d v="2025-02-03T00:00:00"/>
    <n v="2025"/>
    <n v="2"/>
    <s v="February"/>
    <x v="1"/>
    <s v="E157"/>
    <x v="2"/>
    <x v="1"/>
    <s v="Warsaw, Poland"/>
    <x v="1"/>
    <n v="352.41"/>
    <s v="Corporate Card"/>
    <s v="Agency workshop"/>
    <x v="5"/>
    <s v="Warsaw, Poland"/>
    <n v="1"/>
    <n v="300"/>
    <n v="52.41"/>
    <n v="1"/>
    <n v="352.41"/>
    <s v="Missing Receipt"/>
    <n v="0"/>
    <n v="0"/>
    <s v="Review"/>
    <x v="7"/>
  </r>
  <r>
    <s v="T00100"/>
    <d v="2025-08-25T00:00:00"/>
    <n v="2025"/>
    <n v="8"/>
    <s v="August"/>
    <x v="5"/>
    <s v="E125"/>
    <x v="26"/>
    <x v="4"/>
    <s v="London, UK"/>
    <x v="0"/>
    <n v="102.74"/>
    <s v="Corporate Card"/>
    <s v="Customer visit"/>
    <x v="2"/>
    <s v="Berlin, Germany"/>
    <n v="0"/>
    <n v="150"/>
    <n v="0"/>
    <n v="0"/>
    <n v="0"/>
    <s v="Complete"/>
    <n v="0"/>
    <n v="0"/>
    <s v="OK"/>
    <x v="0"/>
  </r>
  <r>
    <s v="T00294"/>
    <d v="2025-11-18T00:00:00"/>
    <n v="2025"/>
    <n v="11"/>
    <s v="November"/>
    <x v="9"/>
    <s v="E170"/>
    <x v="9"/>
    <x v="0"/>
    <s v="Warsaw, Poland"/>
    <x v="4"/>
    <n v="60.36"/>
    <s v="Corporate Card"/>
    <s v="Partner meeting"/>
    <x v="5"/>
    <s v="London, UK"/>
    <n v="0"/>
    <n v="75"/>
    <n v="0"/>
    <n v="0"/>
    <n v="0"/>
    <s v="Complete"/>
    <n v="0"/>
    <n v="0"/>
    <s v="OK"/>
    <x v="0"/>
  </r>
  <r>
    <s v="T00072"/>
    <d v="2025-07-29T00:00:00"/>
    <n v="2025"/>
    <n v="7"/>
    <s v="July"/>
    <x v="2"/>
    <s v="E121"/>
    <x v="11"/>
    <x v="1"/>
    <s v="Warsaw, Poland"/>
    <x v="6"/>
    <n v="909.41"/>
    <s v="Corporate Card"/>
    <s v="Agency workshop"/>
    <x v="5"/>
    <s v="London, UK"/>
    <n v="1"/>
    <n v="800"/>
    <n v="109.41"/>
    <n v="0"/>
    <n v="0"/>
    <s v="Complete"/>
    <n v="0"/>
    <n v="0"/>
    <s v="Review"/>
    <x v="4"/>
  </r>
  <r>
    <s v="T00255"/>
    <d v="2025-05-05T00:00:00"/>
    <n v="2025"/>
    <n v="5"/>
    <s v="May"/>
    <x v="7"/>
    <s v="E167"/>
    <x v="36"/>
    <x v="4"/>
    <s v="Warsaw, Poland"/>
    <x v="5"/>
    <n v="31.43"/>
    <s v="Corporate Card"/>
    <s v="Partner meeting"/>
    <x v="5"/>
    <s v="Vienna, Austria"/>
    <n v="0"/>
    <n v="50"/>
    <n v="0"/>
    <n v="0"/>
    <n v="0"/>
    <s v="Complete"/>
    <n v="0"/>
    <n v="0"/>
    <s v="OK"/>
    <x v="0"/>
  </r>
  <r>
    <s v="T00230"/>
    <d v="2025-09-15T00:00:00"/>
    <n v="2025"/>
    <n v="9"/>
    <s v="September"/>
    <x v="8"/>
    <s v="E158"/>
    <x v="0"/>
    <x v="0"/>
    <s v="Berlin, Germany"/>
    <x v="4"/>
    <n v="99.84"/>
    <s v="Corporate Card"/>
    <s v="Business trip"/>
    <x v="0"/>
    <s v="Munich, Germany"/>
    <n v="1"/>
    <n v="75"/>
    <n v="24.84"/>
    <n v="0"/>
    <n v="0"/>
    <s v="Complete"/>
    <n v="0"/>
    <n v="0"/>
    <s v="Review"/>
    <x v="4"/>
  </r>
  <r>
    <s v="T00173"/>
    <d v="2025-02-03T00:00:00"/>
    <n v="2025"/>
    <n v="2"/>
    <s v="February"/>
    <x v="1"/>
    <s v="E151"/>
    <x v="37"/>
    <x v="1"/>
    <s v="Berlin, Germany"/>
    <x v="6"/>
    <n v="570.86"/>
    <s v="Corporate Card"/>
    <s v="Conference attendance"/>
    <x v="1"/>
    <s v="Warsaw, Poland"/>
    <n v="0"/>
    <n v="800"/>
    <n v="0"/>
    <n v="0"/>
    <n v="0"/>
    <s v="Complete"/>
    <n v="0"/>
    <n v="0"/>
    <s v="OK"/>
    <x v="0"/>
  </r>
  <r>
    <s v="T00300"/>
    <d v="2025-08-08T00:00:00"/>
    <n v="2025"/>
    <n v="8"/>
    <s v="August"/>
    <x v="5"/>
    <s v="E171"/>
    <x v="27"/>
    <x v="5"/>
    <s v="London, UK"/>
    <x v="6"/>
    <n v="1166.83"/>
    <s v="Personal Card"/>
    <s v="Training"/>
    <x v="1"/>
    <s v="London, UK"/>
    <n v="1"/>
    <n v="800"/>
    <n v="366.83"/>
    <n v="0"/>
    <n v="0"/>
    <s v="Complete"/>
    <n v="1"/>
    <n v="1166.83"/>
    <s v="Review"/>
    <x v="6"/>
  </r>
  <r>
    <s v="T00062"/>
    <d v="2025-09-02T00:00:00"/>
    <n v="2025"/>
    <n v="9"/>
    <s v="September"/>
    <x v="8"/>
    <s v="E116"/>
    <x v="8"/>
    <x v="0"/>
    <s v="Warsaw, Poland"/>
    <x v="5"/>
    <n v="29.68"/>
    <s v="Corporate Card"/>
    <s v="Supplier meeting"/>
    <x v="5"/>
    <s v="Paris, France"/>
    <n v="0"/>
    <n v="50"/>
    <n v="0"/>
    <n v="0"/>
    <n v="0"/>
    <s v="Complete"/>
    <n v="0"/>
    <n v="0"/>
    <s v="OK"/>
    <x v="0"/>
  </r>
  <r>
    <s v="T00011"/>
    <d v="2025-09-19T00:00:00"/>
    <n v="2025"/>
    <n v="9"/>
    <s v="September"/>
    <x v="8"/>
    <s v="E106"/>
    <x v="4"/>
    <x v="3"/>
    <s v="Warsaw, Poland"/>
    <x v="1"/>
    <n v="131.94999999999999"/>
    <s v="Corporate Card"/>
    <s v="Conference attendance"/>
    <x v="1"/>
    <s v="Krakow, Poland"/>
    <n v="0"/>
    <n v="300"/>
    <n v="0"/>
    <n v="1"/>
    <n v="131.94999999999999"/>
    <s v="Missing Receipt"/>
    <n v="0"/>
    <n v="0"/>
    <s v="Review"/>
    <x v="1"/>
  </r>
  <r>
    <s v="T00050"/>
    <d v="2025-04-10T00:00:00"/>
    <n v="2025"/>
    <n v="4"/>
    <s v="April"/>
    <x v="3"/>
    <s v="E114"/>
    <x v="12"/>
    <x v="2"/>
    <s v="London, UK"/>
    <x v="3"/>
    <n v="83.86"/>
    <s v="Corporate Card"/>
    <s v="Business trip"/>
    <x v="0"/>
    <s v="Berlin, Germany"/>
    <n v="1"/>
    <n v="75"/>
    <n v="8.86"/>
    <n v="0"/>
    <n v="0"/>
    <s v="Complete"/>
    <n v="0"/>
    <n v="0"/>
    <s v="Review"/>
    <x v="4"/>
  </r>
  <r>
    <s v="T00178"/>
    <d v="2025-05-15T00:00:00"/>
    <n v="2025"/>
    <n v="5"/>
    <s v="May"/>
    <x v="7"/>
    <s v="E153"/>
    <x v="6"/>
    <x v="5"/>
    <s v="Warsaw, Poland"/>
    <x v="1"/>
    <n v="202.62"/>
    <s v="Corporate Card"/>
    <s v="Business trip"/>
    <x v="0"/>
    <s v="London, UK"/>
    <n v="0"/>
    <n v="300"/>
    <n v="0"/>
    <n v="0"/>
    <n v="0"/>
    <s v="Complete"/>
    <n v="0"/>
    <n v="0"/>
    <s v="OK"/>
    <x v="0"/>
  </r>
  <r>
    <s v="T00284"/>
    <d v="2025-11-17T00:00:00"/>
    <n v="2025"/>
    <n v="11"/>
    <s v="November"/>
    <x v="9"/>
    <s v="E170"/>
    <x v="9"/>
    <x v="0"/>
    <s v="Warsaw, Poland"/>
    <x v="3"/>
    <n v="51.85"/>
    <s v="Corporate Card"/>
    <s v="Conference attendance"/>
    <x v="1"/>
    <s v="London, UK"/>
    <n v="0"/>
    <n v="75"/>
    <n v="0"/>
    <n v="0"/>
    <n v="0"/>
    <s v="Complete"/>
    <n v="0"/>
    <n v="0"/>
    <s v="OK"/>
    <x v="0"/>
  </r>
  <r>
    <s v="T00247"/>
    <d v="2025-03-05T00:00:00"/>
    <n v="2025"/>
    <n v="3"/>
    <s v="March"/>
    <x v="10"/>
    <s v="E161"/>
    <x v="25"/>
    <x v="4"/>
    <s v="Berlin, Germany"/>
    <x v="1"/>
    <n v="184.05"/>
    <s v="Corporate Card"/>
    <s v="Customer visit"/>
    <x v="2"/>
    <s v="Vienna, Austria"/>
    <n v="0"/>
    <n v="300"/>
    <n v="0"/>
    <n v="0"/>
    <n v="0"/>
    <s v="Complete"/>
    <n v="0"/>
    <n v="0"/>
    <s v="OK"/>
    <x v="0"/>
  </r>
  <r>
    <s v="T00226"/>
    <d v="2025-05-28T00:00:00"/>
    <n v="2025"/>
    <n v="5"/>
    <s v="May"/>
    <x v="7"/>
    <s v="E157"/>
    <x v="2"/>
    <x v="1"/>
    <s v="Warsaw, Poland"/>
    <x v="1"/>
    <n v="232.67"/>
    <s v="Corporate Card"/>
    <s v="Conference attendance"/>
    <x v="1"/>
    <s v="Warsaw, Poland"/>
    <n v="0"/>
    <n v="300"/>
    <n v="0"/>
    <n v="0"/>
    <n v="0"/>
    <s v="Complete"/>
    <n v="0"/>
    <n v="0"/>
    <s v="OK"/>
    <x v="0"/>
  </r>
  <r>
    <s v="T00038"/>
    <d v="2025-07-25T00:00:00"/>
    <n v="2025"/>
    <n v="7"/>
    <s v="July"/>
    <x v="2"/>
    <s v="E112"/>
    <x v="39"/>
    <x v="3"/>
    <s v="Berlin, Germany"/>
    <x v="6"/>
    <n v="736.76"/>
    <s v="Corporate Card"/>
    <s v="Project workshop"/>
    <x v="4"/>
    <s v="Frankfurt, Germany"/>
    <n v="0"/>
    <n v="800"/>
    <n v="0"/>
    <n v="0"/>
    <n v="0"/>
    <s v="Complete"/>
    <n v="0"/>
    <n v="0"/>
    <s v="OK"/>
    <x v="0"/>
  </r>
  <r>
    <s v="T00131"/>
    <d v="2025-07-07T00:00:00"/>
    <n v="2025"/>
    <n v="7"/>
    <s v="July"/>
    <x v="2"/>
    <s v="E139"/>
    <x v="40"/>
    <x v="1"/>
    <s v="Warsaw, Poland"/>
    <x v="5"/>
    <n v="28.08"/>
    <s v="Corporate Card"/>
    <s v="Agency meeting"/>
    <x v="5"/>
    <s v="Warsaw, Poland"/>
    <n v="0"/>
    <n v="50"/>
    <n v="0"/>
    <n v="1"/>
    <n v="28.08"/>
    <s v="Missing Receipt"/>
    <n v="0"/>
    <n v="0"/>
    <s v="Review"/>
    <x v="1"/>
  </r>
  <r>
    <s v="T00036"/>
    <d v="2025-07-23T00:00:00"/>
    <n v="2025"/>
    <n v="7"/>
    <s v="July"/>
    <x v="2"/>
    <s v="E111"/>
    <x v="13"/>
    <x v="5"/>
    <s v="Warsaw, Poland"/>
    <x v="0"/>
    <n v="177.8"/>
    <s v="Personal Card"/>
    <s v="Business trip"/>
    <x v="0"/>
    <s v="Paris, France"/>
    <n v="1"/>
    <n v="150"/>
    <n v="27.8"/>
    <n v="0"/>
    <n v="0"/>
    <s v="Complete"/>
    <n v="1"/>
    <n v="177.8"/>
    <s v="Review"/>
    <x v="6"/>
  </r>
  <r>
    <s v="T00235"/>
    <d v="2025-08-12T00:00:00"/>
    <n v="2025"/>
    <n v="8"/>
    <s v="August"/>
    <x v="5"/>
    <s v="E159"/>
    <x v="21"/>
    <x v="5"/>
    <s v="Warsaw, Poland"/>
    <x v="6"/>
    <n v="882.02"/>
    <s v="Corporate Card"/>
    <s v="HR conference"/>
    <x v="1"/>
    <s v="Krakow, Poland"/>
    <n v="1"/>
    <n v="800"/>
    <n v="82.02"/>
    <n v="0"/>
    <n v="0"/>
    <s v="Complete"/>
    <n v="0"/>
    <n v="0"/>
    <s v="Review"/>
    <x v="4"/>
  </r>
  <r>
    <s v="T00232"/>
    <d v="2025-04-28T00:00:00"/>
    <n v="2025"/>
    <n v="4"/>
    <s v="April"/>
    <x v="3"/>
    <s v="E158"/>
    <x v="0"/>
    <x v="0"/>
    <s v="Berlin, Germany"/>
    <x v="2"/>
    <n v="19.34"/>
    <s v="Corporate Card"/>
    <s v="Travel to customer site"/>
    <x v="0"/>
    <s v="Berlin, Germany"/>
    <n v="0"/>
    <n v="30"/>
    <n v="0"/>
    <n v="0"/>
    <n v="0"/>
    <s v="Complete"/>
    <n v="0"/>
    <n v="0"/>
    <s v="OK"/>
    <x v="0"/>
  </r>
  <r>
    <s v="T00115"/>
    <d v="2025-07-14T00:00:00"/>
    <n v="2025"/>
    <n v="7"/>
    <s v="July"/>
    <x v="2"/>
    <s v="E134"/>
    <x v="31"/>
    <x v="0"/>
    <s v="Berlin, Germany"/>
    <x v="0"/>
    <n v="97.06"/>
    <s v="Personal Card"/>
    <s v="Training"/>
    <x v="1"/>
    <s v="Vienna, Austria"/>
    <n v="0"/>
    <n v="150"/>
    <n v="0"/>
    <n v="0"/>
    <n v="0"/>
    <s v="Complete"/>
    <n v="1"/>
    <n v="97.06"/>
    <s v="Review"/>
    <x v="2"/>
  </r>
  <r>
    <s v="T00089"/>
    <d v="2025-04-11T00:00:00"/>
    <n v="2025"/>
    <n v="4"/>
    <s v="April"/>
    <x v="3"/>
    <s v="E123"/>
    <x v="18"/>
    <x v="5"/>
    <s v="Berlin, Germany"/>
    <x v="5"/>
    <n v="53.12"/>
    <s v="Corporate Card"/>
    <s v="Internal meeting"/>
    <x v="3"/>
    <s v="Prague, Czech Republic"/>
    <n v="1"/>
    <n v="50"/>
    <n v="3.12"/>
    <n v="0"/>
    <n v="0"/>
    <s v="Complete"/>
    <n v="0"/>
    <n v="0"/>
    <s v="Review"/>
    <x v="4"/>
  </r>
  <r>
    <s v="T00126"/>
    <d v="2025-10-08T00:00:00"/>
    <n v="2025"/>
    <n v="10"/>
    <s v="October"/>
    <x v="0"/>
    <s v="E138"/>
    <x v="23"/>
    <x v="2"/>
    <s v="Warsaw, Poland"/>
    <x v="5"/>
    <n v="18.41"/>
    <s v="Personal Card"/>
    <s v="Project workshop"/>
    <x v="4"/>
    <s v="Krakow, Poland"/>
    <n v="0"/>
    <n v="50"/>
    <n v="0"/>
    <n v="0"/>
    <n v="0"/>
    <s v="Complete"/>
    <n v="1"/>
    <n v="18.41"/>
    <s v="Review"/>
    <x v="2"/>
  </r>
  <r>
    <s v="T00224"/>
    <d v="2025-03-13T00:00:00"/>
    <n v="2025"/>
    <n v="3"/>
    <s v="March"/>
    <x v="10"/>
    <s v="E157"/>
    <x v="2"/>
    <x v="1"/>
    <s v="Warsaw, Poland"/>
    <x v="2"/>
    <n v="35.340000000000003"/>
    <s v="Corporate Card"/>
    <s v="Conference attendance"/>
    <x v="1"/>
    <s v="Berlin, Germany"/>
    <n v="1"/>
    <n v="30"/>
    <n v="5.34"/>
    <n v="0"/>
    <n v="0"/>
    <s v="Complete"/>
    <n v="0"/>
    <n v="0"/>
    <s v="Review"/>
    <x v="4"/>
  </r>
  <r>
    <s v="T00043"/>
    <d v="2025-12-15T00:00:00"/>
    <n v="2025"/>
    <n v="12"/>
    <s v="December"/>
    <x v="6"/>
    <s v="E114"/>
    <x v="12"/>
    <x v="2"/>
    <s v="London, UK"/>
    <x v="5"/>
    <n v="26.31"/>
    <s v="Corporate Card"/>
    <s v="Internal meeting"/>
    <x v="3"/>
    <s v="Amsterdam, Netherlands"/>
    <n v="0"/>
    <n v="50"/>
    <n v="0"/>
    <n v="0"/>
    <n v="0"/>
    <s v="Complete"/>
    <n v="0"/>
    <n v="0"/>
    <s v="OK"/>
    <x v="0"/>
  </r>
  <r>
    <s v="T00261"/>
    <d v="2025-04-15T00:00:00"/>
    <n v="2025"/>
    <n v="4"/>
    <s v="April"/>
    <x v="3"/>
    <s v="E169"/>
    <x v="15"/>
    <x v="1"/>
    <s v="London, UK"/>
    <x v="4"/>
    <n v="69.66"/>
    <s v="Corporate Card"/>
    <s v="Client dinner"/>
    <x v="2"/>
    <s v="Dublin, Ireland"/>
    <n v="0"/>
    <n v="75"/>
    <n v="0"/>
    <n v="0"/>
    <n v="0"/>
    <s v="Complete"/>
    <n v="0"/>
    <n v="0"/>
    <s v="OK"/>
    <x v="0"/>
  </r>
  <r>
    <s v="T00164"/>
    <d v="2025-02-18T00:00:00"/>
    <n v="2025"/>
    <n v="2"/>
    <s v="February"/>
    <x v="1"/>
    <s v="E144"/>
    <x v="41"/>
    <x v="2"/>
    <s v="Berlin, Germany"/>
    <x v="6"/>
    <n v="821.99"/>
    <s v="Corporate Card"/>
    <s v="Customer visit"/>
    <x v="2"/>
    <s v="Frankfurt, Germany"/>
    <n v="1"/>
    <n v="800"/>
    <n v="21.99"/>
    <n v="0"/>
    <n v="0"/>
    <s v="Complete"/>
    <n v="0"/>
    <n v="0"/>
    <s v="Review"/>
    <x v="4"/>
  </r>
  <r>
    <s v="T00005"/>
    <d v="2025-07-09T00:00:00"/>
    <n v="2025"/>
    <n v="7"/>
    <s v="July"/>
    <x v="2"/>
    <s v="E103"/>
    <x v="19"/>
    <x v="1"/>
    <s v="Warsaw, Poland"/>
    <x v="4"/>
    <n v="63.5"/>
    <s v="Corporate Card"/>
    <s v="Team dinner"/>
    <x v="3"/>
    <s v="Wroclaw, Poland"/>
    <n v="0"/>
    <n v="75"/>
    <n v="0"/>
    <n v="0"/>
    <n v="0"/>
    <s v="Complete"/>
    <n v="0"/>
    <n v="0"/>
    <s v="OK"/>
    <x v="0"/>
  </r>
  <r>
    <s v="T00098"/>
    <d v="2025-01-22T00:00:00"/>
    <n v="2025"/>
    <n v="1"/>
    <s v="January"/>
    <x v="11"/>
    <s v="E123"/>
    <x v="18"/>
    <x v="5"/>
    <s v="Berlin, Germany"/>
    <x v="5"/>
    <n v="58.08"/>
    <s v="Personal Card"/>
    <s v="Internal meeting"/>
    <x v="3"/>
    <s v="Amsterdam, Netherlands"/>
    <n v="1"/>
    <n v="50"/>
    <n v="8.08"/>
    <n v="0"/>
    <n v="0"/>
    <s v="Complete"/>
    <n v="1"/>
    <n v="58.08"/>
    <s v="Review"/>
    <x v="6"/>
  </r>
  <r>
    <s v="T00028"/>
    <d v="2025-09-12T00:00:00"/>
    <n v="2025"/>
    <n v="9"/>
    <s v="September"/>
    <x v="8"/>
    <s v="E111"/>
    <x v="13"/>
    <x v="5"/>
    <s v="Warsaw, Poland"/>
    <x v="6"/>
    <n v="611.46"/>
    <s v="Corporate Card"/>
    <s v="HR conference"/>
    <x v="1"/>
    <s v="Krakow, Poland"/>
    <n v="0"/>
    <n v="800"/>
    <n v="0"/>
    <n v="0"/>
    <n v="0"/>
    <s v="Complete"/>
    <n v="0"/>
    <n v="0"/>
    <s v="OK"/>
    <x v="0"/>
  </r>
  <r>
    <s v="T00187"/>
    <d v="2025-07-26T00:00:00"/>
    <n v="2025"/>
    <n v="7"/>
    <s v="July"/>
    <x v="2"/>
    <s v="E157"/>
    <x v="2"/>
    <x v="1"/>
    <s v="Warsaw, Poland"/>
    <x v="3"/>
    <n v="22.89"/>
    <s v="Corporate Card"/>
    <s v="Travel between offices"/>
    <x v="0"/>
    <s v="Warsaw, Poland"/>
    <n v="0"/>
    <n v="75"/>
    <n v="0"/>
    <n v="0"/>
    <n v="0"/>
    <s v="Complete"/>
    <n v="0"/>
    <n v="0"/>
    <s v="OK"/>
    <x v="0"/>
  </r>
  <r>
    <s v="T00116"/>
    <d v="2025-03-14T00:00:00"/>
    <n v="2025"/>
    <n v="3"/>
    <s v="March"/>
    <x v="10"/>
    <s v="E134"/>
    <x v="31"/>
    <x v="0"/>
    <s v="Berlin, Germany"/>
    <x v="4"/>
    <n v="32.79"/>
    <s v="Personal Card"/>
    <s v="Project milestone dinner"/>
    <x v="4"/>
    <s v="Warsaw, Poland"/>
    <n v="0"/>
    <n v="75"/>
    <n v="0"/>
    <n v="0"/>
    <n v="0"/>
    <s v="Complete"/>
    <n v="1"/>
    <n v="32.79"/>
    <s v="Review"/>
    <x v="2"/>
  </r>
  <r>
    <s v="T00192"/>
    <d v="2025-11-18T00:00:00"/>
    <n v="2025"/>
    <n v="11"/>
    <s v="November"/>
    <x v="9"/>
    <s v="E157"/>
    <x v="2"/>
    <x v="1"/>
    <s v="Warsaw, Poland"/>
    <x v="4"/>
    <n v="65.430000000000007"/>
    <s v="Personal Card"/>
    <s v="Agency dinner"/>
    <x v="5"/>
    <s v="Prague, Czech Republic"/>
    <n v="0"/>
    <n v="75"/>
    <n v="0"/>
    <n v="0"/>
    <n v="0"/>
    <s v="Complete"/>
    <n v="1"/>
    <n v="65.430000000000007"/>
    <s v="Review"/>
    <x v="2"/>
  </r>
  <r>
    <s v="T00079"/>
    <d v="2025-07-14T00:00:00"/>
    <n v="2025"/>
    <n v="7"/>
    <s v="July"/>
    <x v="2"/>
    <s v="E121"/>
    <x v="11"/>
    <x v="1"/>
    <s v="Warsaw, Poland"/>
    <x v="6"/>
    <n v="506.33"/>
    <s v="Corporate Card"/>
    <s v="Campaign event"/>
    <x v="1"/>
    <s v="Vienna, Austria"/>
    <n v="0"/>
    <n v="800"/>
    <n v="0"/>
    <n v="0"/>
    <n v="0"/>
    <s v="Complete"/>
    <n v="0"/>
    <n v="0"/>
    <s v="OK"/>
    <x v="0"/>
  </r>
  <r>
    <s v="T00273"/>
    <d v="2025-03-14T00:00:00"/>
    <n v="2025"/>
    <n v="3"/>
    <s v="March"/>
    <x v="10"/>
    <s v="E169"/>
    <x v="15"/>
    <x v="1"/>
    <s v="London, UK"/>
    <x v="6"/>
    <n v="465.82"/>
    <s v="Corporate Card"/>
    <s v="Campaign event"/>
    <x v="1"/>
    <s v="Edinburgh, UK"/>
    <n v="0"/>
    <n v="800"/>
    <n v="0"/>
    <n v="0"/>
    <n v="0"/>
    <s v="Complete"/>
    <n v="0"/>
    <n v="0"/>
    <s v="OK"/>
    <x v="0"/>
  </r>
  <r>
    <s v="T00082"/>
    <d v="2025-08-01T00:00:00"/>
    <n v="2025"/>
    <n v="8"/>
    <s v="August"/>
    <x v="5"/>
    <s v="E122"/>
    <x v="34"/>
    <x v="0"/>
    <s v="Warsaw, Poland"/>
    <x v="5"/>
    <n v="46.2"/>
    <s v="Corporate Card"/>
    <s v="Team lunch"/>
    <x v="3"/>
    <s v="Gdansk, Poland"/>
    <n v="0"/>
    <n v="50"/>
    <n v="0"/>
    <n v="0"/>
    <n v="0"/>
    <s v="Complete"/>
    <n v="0"/>
    <n v="0"/>
    <s v="OK"/>
    <x v="0"/>
  </r>
  <r>
    <s v="T00145"/>
    <d v="2025-03-07T00:00:00"/>
    <n v="2025"/>
    <n v="3"/>
    <s v="March"/>
    <x v="10"/>
    <s v="E141"/>
    <x v="20"/>
    <x v="5"/>
    <s v="Berlin, Germany"/>
    <x v="5"/>
    <n v="60.86"/>
    <s v="Corporate Card"/>
    <s v="HR workshop"/>
    <x v="1"/>
    <s v="Frankfurt, Germany"/>
    <n v="1"/>
    <n v="50"/>
    <n v="10.86"/>
    <n v="0"/>
    <n v="0"/>
    <s v="Complete"/>
    <n v="0"/>
    <n v="0"/>
    <s v="Review"/>
    <x v="4"/>
  </r>
  <r>
    <s v="T00047"/>
    <d v="2025-07-24T00:00:00"/>
    <n v="2025"/>
    <n v="7"/>
    <s v="July"/>
    <x v="2"/>
    <s v="E114"/>
    <x v="12"/>
    <x v="2"/>
    <s v="London, UK"/>
    <x v="6"/>
    <n v="458.36"/>
    <s v="Corporate Card"/>
    <s v="Project workshop"/>
    <x v="4"/>
    <s v="London, UK"/>
    <n v="0"/>
    <n v="800"/>
    <n v="0"/>
    <n v="0"/>
    <n v="0"/>
    <s v="Complete"/>
    <n v="0"/>
    <n v="0"/>
    <s v="OK"/>
    <x v="0"/>
  </r>
  <r>
    <s v="T00060"/>
    <d v="2025-10-28T00:00:00"/>
    <n v="2025"/>
    <n v="10"/>
    <s v="October"/>
    <x v="0"/>
    <s v="E115"/>
    <x v="29"/>
    <x v="1"/>
    <s v="Berlin, Germany"/>
    <x v="0"/>
    <n v="128.52000000000001"/>
    <s v="Corporate Card"/>
    <s v="Business trip"/>
    <x v="0"/>
    <s v="Berlin, Germany"/>
    <n v="0"/>
    <n v="150"/>
    <n v="0"/>
    <n v="0"/>
    <n v="0"/>
    <s v="Complete"/>
    <n v="0"/>
    <n v="0"/>
    <s v="OK"/>
    <x v="0"/>
  </r>
  <r>
    <s v="T00096"/>
    <d v="2025-06-04T00:00:00"/>
    <n v="2025"/>
    <n v="6"/>
    <s v="June"/>
    <x v="4"/>
    <s v="E123"/>
    <x v="18"/>
    <x v="5"/>
    <s v="Berlin, Germany"/>
    <x v="5"/>
    <n v="41.04"/>
    <s v="Corporate Card"/>
    <s v="HR workshop"/>
    <x v="1"/>
    <s v="Prague, Czech Republic"/>
    <n v="0"/>
    <n v="50"/>
    <n v="0"/>
    <n v="0"/>
    <n v="0"/>
    <s v="Complete"/>
    <n v="0"/>
    <n v="0"/>
    <s v="OK"/>
    <x v="0"/>
  </r>
  <r>
    <s v="T00267"/>
    <d v="2025-09-05T00:00:00"/>
    <n v="2025"/>
    <n v="9"/>
    <s v="September"/>
    <x v="8"/>
    <s v="E169"/>
    <x v="15"/>
    <x v="1"/>
    <s v="London, UK"/>
    <x v="1"/>
    <n v="134.15"/>
    <s v="Corporate Card"/>
    <s v="Campaign event"/>
    <x v="1"/>
    <s v="Dublin, Ireland"/>
    <n v="0"/>
    <n v="300"/>
    <n v="0"/>
    <n v="0"/>
    <n v="0"/>
    <s v="Complete"/>
    <n v="0"/>
    <n v="0"/>
    <s v="OK"/>
    <x v="0"/>
  </r>
  <r>
    <s v="T00240"/>
    <d v="2025-03-26T00:00:00"/>
    <n v="2025"/>
    <n v="3"/>
    <s v="March"/>
    <x v="10"/>
    <s v="E159"/>
    <x v="21"/>
    <x v="5"/>
    <s v="Warsaw, Poland"/>
    <x v="0"/>
    <n v="102.55"/>
    <s v="Corporate Card"/>
    <s v="Business trip"/>
    <x v="0"/>
    <s v="Wroclaw, Poland"/>
    <n v="0"/>
    <n v="150"/>
    <n v="0"/>
    <n v="0"/>
    <n v="0"/>
    <s v="Complete"/>
    <n v="0"/>
    <n v="0"/>
    <s v="OK"/>
    <x v="0"/>
  </r>
  <r>
    <s v="T00017"/>
    <d v="2025-06-03T00:00:00"/>
    <n v="2025"/>
    <n v="6"/>
    <s v="June"/>
    <x v="4"/>
    <s v="E108"/>
    <x v="22"/>
    <x v="2"/>
    <s v="Warsaw, Poland"/>
    <x v="4"/>
    <n v="84.88"/>
    <s v="Corporate Card"/>
    <s v="Customer workshop"/>
    <x v="2"/>
    <s v="Wroclaw, Poland"/>
    <n v="1"/>
    <n v="75"/>
    <n v="9.8800000000000008"/>
    <n v="0"/>
    <n v="0"/>
    <s v="Complete"/>
    <n v="0"/>
    <n v="0"/>
    <s v="Review"/>
    <x v="4"/>
  </r>
  <r>
    <s v="T00233"/>
    <d v="2025-03-07T00:00:00"/>
    <n v="2025"/>
    <n v="3"/>
    <s v="March"/>
    <x v="10"/>
    <s v="E158"/>
    <x v="0"/>
    <x v="0"/>
    <s v="Berlin, Germany"/>
    <x v="4"/>
    <n v="59.71"/>
    <s v="Personal Card"/>
    <s v="Business trip"/>
    <x v="0"/>
    <s v="Frankfurt, Germany"/>
    <n v="0"/>
    <n v="75"/>
    <n v="0"/>
    <n v="0"/>
    <n v="0"/>
    <s v="Complete"/>
    <n v="1"/>
    <n v="59.71"/>
    <s v="Review"/>
    <x v="2"/>
  </r>
  <r>
    <s v="T00093"/>
    <d v="2025-01-16T00:00:00"/>
    <n v="2025"/>
    <n v="1"/>
    <s v="January"/>
    <x v="11"/>
    <s v="E123"/>
    <x v="18"/>
    <x v="5"/>
    <s v="Berlin, Germany"/>
    <x v="0"/>
    <n v="162.32"/>
    <s v="Corporate Card"/>
    <s v="Conference attendance"/>
    <x v="1"/>
    <s v="Hamburg, Germany"/>
    <n v="1"/>
    <n v="150"/>
    <n v="12.32"/>
    <n v="0"/>
    <n v="0"/>
    <s v="Complete"/>
    <n v="0"/>
    <n v="0"/>
    <s v="Review"/>
    <x v="4"/>
  </r>
  <r>
    <s v="T00295"/>
    <d v="2025-07-06T00:00:00"/>
    <n v="2025"/>
    <n v="7"/>
    <s v="July"/>
    <x v="2"/>
    <s v="E170"/>
    <x v="9"/>
    <x v="0"/>
    <s v="Warsaw, Poland"/>
    <x v="4"/>
    <n v="41.43"/>
    <s v="Corporate Card"/>
    <s v="Supplier meeting"/>
    <x v="5"/>
    <s v="Gdansk, Poland"/>
    <n v="0"/>
    <n v="75"/>
    <n v="0"/>
    <n v="0"/>
    <n v="0"/>
    <s v="Complete"/>
    <n v="0"/>
    <n v="0"/>
    <s v="OK"/>
    <x v="0"/>
  </r>
  <r>
    <s v="T00292"/>
    <d v="2025-08-18T00:00:00"/>
    <n v="2025"/>
    <n v="8"/>
    <s v="August"/>
    <x v="5"/>
    <s v="E170"/>
    <x v="9"/>
    <x v="0"/>
    <s v="Warsaw, Poland"/>
    <x v="6"/>
    <n v="932.36"/>
    <s v="Corporate Card"/>
    <s v="Business trip"/>
    <x v="0"/>
    <s v="Paris, France"/>
    <n v="1"/>
    <n v="800"/>
    <n v="132.36000000000001"/>
    <n v="0"/>
    <n v="0"/>
    <s v="Complete"/>
    <n v="0"/>
    <n v="0"/>
    <s v="Review"/>
    <x v="4"/>
  </r>
  <r>
    <s v="T00102"/>
    <d v="2025-05-20T00:00:00"/>
    <n v="2025"/>
    <n v="5"/>
    <s v="May"/>
    <x v="7"/>
    <s v="E126"/>
    <x v="42"/>
    <x v="2"/>
    <s v="Berlin, Germany"/>
    <x v="3"/>
    <n v="68.260000000000005"/>
    <s v="Corporate Card"/>
    <s v="Travel between offices"/>
    <x v="0"/>
    <s v="Frankfurt, Germany"/>
    <n v="0"/>
    <n v="75"/>
    <n v="0"/>
    <n v="0"/>
    <n v="0"/>
    <s v="Complete"/>
    <n v="0"/>
    <n v="0"/>
    <s v="OK"/>
    <x v="0"/>
  </r>
  <r>
    <s v="T00105"/>
    <d v="2025-11-04T00:00:00"/>
    <n v="2025"/>
    <n v="11"/>
    <s v="November"/>
    <x v="9"/>
    <s v="E126"/>
    <x v="42"/>
    <x v="2"/>
    <s v="Berlin, Germany"/>
    <x v="5"/>
    <n v="14.12"/>
    <s v="Corporate Card"/>
    <s v="Supplier meeting"/>
    <x v="5"/>
    <s v="Vienna, Austria"/>
    <n v="0"/>
    <n v="50"/>
    <n v="0"/>
    <n v="0"/>
    <n v="0"/>
    <s v="Complete"/>
    <n v="0"/>
    <n v="0"/>
    <s v="OK"/>
    <x v="0"/>
  </r>
  <r>
    <s v="T00111"/>
    <d v="2025-12-17T00:00:00"/>
    <n v="2025"/>
    <n v="12"/>
    <s v="December"/>
    <x v="6"/>
    <s v="E130"/>
    <x v="38"/>
    <x v="3"/>
    <s v="Warsaw, Poland"/>
    <x v="4"/>
    <n v="52.57"/>
    <s v="Corporate Card"/>
    <s v="Supplier meeting"/>
    <x v="5"/>
    <s v="Warsaw, Poland"/>
    <n v="0"/>
    <n v="75"/>
    <n v="0"/>
    <n v="0"/>
    <n v="0"/>
    <s v="Complete"/>
    <n v="0"/>
    <n v="0"/>
    <s v="OK"/>
    <x v="0"/>
  </r>
  <r>
    <s v="T00046"/>
    <d v="2025-09-03T00:00:00"/>
    <n v="2025"/>
    <n v="9"/>
    <s v="September"/>
    <x v="8"/>
    <s v="E114"/>
    <x v="12"/>
    <x v="2"/>
    <s v="London, UK"/>
    <x v="4"/>
    <n v="68.59"/>
    <s v="Corporate Card"/>
    <s v="Team dinner"/>
    <x v="3"/>
    <s v="Berlin, Germany"/>
    <n v="0"/>
    <n v="75"/>
    <n v="0"/>
    <n v="0"/>
    <n v="0"/>
    <s v="Complete"/>
    <n v="0"/>
    <n v="0"/>
    <s v="OK"/>
    <x v="0"/>
  </r>
  <r>
    <s v="T00288"/>
    <d v="2025-07-09T00:00:00"/>
    <n v="2025"/>
    <n v="7"/>
    <s v="July"/>
    <x v="2"/>
    <s v="E170"/>
    <x v="9"/>
    <x v="0"/>
    <s v="Warsaw, Poland"/>
    <x v="4"/>
    <n v="90.52"/>
    <s v="Personal Card"/>
    <s v="Supplier meeting"/>
    <x v="5"/>
    <s v="Prague, Czech Republic"/>
    <n v="1"/>
    <n v="75"/>
    <n v="15.52"/>
    <n v="0"/>
    <n v="0"/>
    <s v="Complete"/>
    <n v="1"/>
    <n v="90.52"/>
    <s v="Review"/>
    <x v="6"/>
  </r>
  <r>
    <s v="T00136"/>
    <d v="2025-07-21T00:00:00"/>
    <n v="2025"/>
    <n v="7"/>
    <s v="July"/>
    <x v="2"/>
    <s v="E141"/>
    <x v="20"/>
    <x v="5"/>
    <s v="Berlin, Germany"/>
    <x v="1"/>
    <n v="273.58999999999997"/>
    <s v="Corporate Card"/>
    <s v="Training"/>
    <x v="1"/>
    <s v="Amsterdam, Netherlands"/>
    <n v="0"/>
    <n v="300"/>
    <n v="0"/>
    <n v="0"/>
    <n v="0"/>
    <s v="Complete"/>
    <n v="0"/>
    <n v="0"/>
    <s v="OK"/>
    <x v="0"/>
  </r>
  <r>
    <s v="T00035"/>
    <d v="2025-01-30T00:00:00"/>
    <n v="2025"/>
    <n v="1"/>
    <s v="January"/>
    <x v="11"/>
    <s v="E111"/>
    <x v="13"/>
    <x v="5"/>
    <s v="Warsaw, Poland"/>
    <x v="1"/>
    <n v="383.93"/>
    <s v="Corporate Card"/>
    <s v="Training"/>
    <x v="1"/>
    <s v="Warsaw, Poland"/>
    <n v="1"/>
    <n v="300"/>
    <n v="83.93"/>
    <n v="0"/>
    <n v="0"/>
    <s v="Complete"/>
    <n v="0"/>
    <n v="0"/>
    <s v="Review"/>
    <x v="4"/>
  </r>
  <r>
    <s v="T00013"/>
    <d v="2025-02-03T00:00:00"/>
    <n v="2025"/>
    <n v="2"/>
    <s v="February"/>
    <x v="1"/>
    <s v="E107"/>
    <x v="10"/>
    <x v="4"/>
    <s v="Berlin, Germany"/>
    <x v="6"/>
    <n v="394.13"/>
    <s v="Personal Card"/>
    <s v="Conference attendance"/>
    <x v="1"/>
    <s v="Prague, Czech Republic"/>
    <n v="0"/>
    <n v="800"/>
    <n v="0"/>
    <n v="0"/>
    <n v="0"/>
    <s v="Complete"/>
    <n v="1"/>
    <n v="394.13"/>
    <s v="Review"/>
    <x v="2"/>
  </r>
  <r>
    <s v="T00083"/>
    <d v="2025-07-21T00:00:00"/>
    <n v="2025"/>
    <n v="7"/>
    <s v="July"/>
    <x v="2"/>
    <s v="E122"/>
    <x v="34"/>
    <x v="0"/>
    <s v="Warsaw, Poland"/>
    <x v="4"/>
    <n v="32.69"/>
    <s v="Corporate Card"/>
    <s v="Supplier meeting"/>
    <x v="5"/>
    <s v="Gdansk, Poland"/>
    <n v="0"/>
    <n v="75"/>
    <n v="0"/>
    <n v="1"/>
    <n v="32.69"/>
    <s v="Missing Receipt"/>
    <n v="0"/>
    <n v="0"/>
    <s v="Review"/>
    <x v="1"/>
  </r>
  <r>
    <s v="T00162"/>
    <d v="2025-04-15T00:00:00"/>
    <n v="2025"/>
    <n v="4"/>
    <s v="April"/>
    <x v="3"/>
    <s v="E144"/>
    <x v="41"/>
    <x v="2"/>
    <s v="Berlin, Germany"/>
    <x v="5"/>
    <n v="35.47"/>
    <s v="Corporate Card"/>
    <s v="Internal meeting"/>
    <x v="3"/>
    <s v="Hamburg, Germany"/>
    <n v="0"/>
    <n v="50"/>
    <n v="0"/>
    <n v="0"/>
    <n v="0"/>
    <s v="Complete"/>
    <n v="0"/>
    <n v="0"/>
    <s v="OK"/>
    <x v="0"/>
  </r>
  <r>
    <s v="T00199"/>
    <d v="2025-11-06T00:00:00"/>
    <n v="2025"/>
    <n v="11"/>
    <s v="November"/>
    <x v="9"/>
    <s v="E157"/>
    <x v="2"/>
    <x v="1"/>
    <s v="Warsaw, Poland"/>
    <x v="1"/>
    <n v="238.48"/>
    <s v="Corporate Card"/>
    <s v="Campaign event"/>
    <x v="1"/>
    <s v="London, UK"/>
    <n v="0"/>
    <n v="300"/>
    <n v="0"/>
    <n v="0"/>
    <n v="0"/>
    <s v="Complete"/>
    <n v="0"/>
    <n v="0"/>
    <s v="OK"/>
    <x v="0"/>
  </r>
  <r>
    <s v="T00002"/>
    <d v="2025-02-19T00:00:00"/>
    <n v="2025"/>
    <n v="2"/>
    <s v="February"/>
    <x v="1"/>
    <s v="E103"/>
    <x v="19"/>
    <x v="1"/>
    <s v="Warsaw, Poland"/>
    <x v="0"/>
    <n v="126.39"/>
    <s v="Corporate Card"/>
    <s v="Business trip"/>
    <x v="0"/>
    <s v="Warsaw, Poland"/>
    <n v="0"/>
    <n v="150"/>
    <n v="0"/>
    <n v="0"/>
    <n v="0"/>
    <s v="Complete"/>
    <n v="0"/>
    <n v="0"/>
    <s v="OK"/>
    <x v="0"/>
  </r>
  <r>
    <s v="T00196"/>
    <d v="2025-04-24T00:00:00"/>
    <n v="2025"/>
    <n v="4"/>
    <s v="April"/>
    <x v="3"/>
    <s v="E157"/>
    <x v="2"/>
    <x v="1"/>
    <s v="Warsaw, Poland"/>
    <x v="1"/>
    <n v="279.62"/>
    <s v="Personal Card"/>
    <s v="Training"/>
    <x v="1"/>
    <s v="Berlin, Germany"/>
    <n v="0"/>
    <n v="300"/>
    <n v="0"/>
    <n v="0"/>
    <n v="0"/>
    <s v="Complete"/>
    <n v="1"/>
    <n v="279.62"/>
    <s v="Review"/>
    <x v="2"/>
  </r>
  <r>
    <s v="T00029"/>
    <d v="2025-06-25T00:00:00"/>
    <n v="2025"/>
    <n v="6"/>
    <s v="June"/>
    <x v="4"/>
    <s v="E111"/>
    <x v="13"/>
    <x v="5"/>
    <s v="Warsaw, Poland"/>
    <x v="3"/>
    <n v="52.31"/>
    <s v="Corporate Card"/>
    <s v="Customer visit"/>
    <x v="2"/>
    <s v="London, UK"/>
    <n v="0"/>
    <n v="75"/>
    <n v="0"/>
    <n v="0"/>
    <n v="0"/>
    <s v="Complete"/>
    <n v="0"/>
    <n v="0"/>
    <s v="OK"/>
    <x v="0"/>
  </r>
  <r>
    <s v="T00037"/>
    <d v="2025-03-12T00:00:00"/>
    <n v="2025"/>
    <n v="3"/>
    <s v="March"/>
    <x v="10"/>
    <s v="E112"/>
    <x v="39"/>
    <x v="3"/>
    <s v="Berlin, Germany"/>
    <x v="4"/>
    <n v="51.68"/>
    <s v="Personal Card"/>
    <s v="Team dinner"/>
    <x v="3"/>
    <s v="Munich, Germany"/>
    <n v="0"/>
    <n v="75"/>
    <n v="0"/>
    <n v="0"/>
    <n v="0"/>
    <s v="Complete"/>
    <n v="1"/>
    <n v="51.68"/>
    <s v="Review"/>
    <x v="2"/>
  </r>
  <r>
    <s v="T00130"/>
    <d v="2025-03-11T00:00:00"/>
    <n v="2025"/>
    <n v="3"/>
    <s v="March"/>
    <x v="10"/>
    <s v="E139"/>
    <x v="40"/>
    <x v="1"/>
    <s v="Warsaw, Poland"/>
    <x v="1"/>
    <n v="373.27"/>
    <s v="Corporate Card"/>
    <s v="Agency workshop"/>
    <x v="5"/>
    <s v="Warsaw, Poland"/>
    <n v="1"/>
    <n v="300"/>
    <n v="73.27"/>
    <n v="0"/>
    <n v="0"/>
    <s v="Complete"/>
    <n v="0"/>
    <n v="0"/>
    <s v="Review"/>
    <x v="4"/>
  </r>
  <r>
    <s v="T00252"/>
    <d v="2025-10-28T00:00:00"/>
    <n v="2025"/>
    <n v="10"/>
    <s v="October"/>
    <x v="0"/>
    <s v="E167"/>
    <x v="36"/>
    <x v="4"/>
    <s v="Warsaw, Poland"/>
    <x v="5"/>
    <n v="60.2"/>
    <s v="Corporate Card"/>
    <s v="Client meeting"/>
    <x v="2"/>
    <s v="Warsaw, Poland"/>
    <n v="1"/>
    <n v="50"/>
    <n v="10.199999999999999"/>
    <n v="0"/>
    <n v="0"/>
    <s v="Complete"/>
    <n v="0"/>
    <n v="0"/>
    <s v="Review"/>
    <x v="4"/>
  </r>
  <r>
    <s v="T00121"/>
    <d v="2025-12-02T00:00:00"/>
    <n v="2025"/>
    <n v="12"/>
    <s v="December"/>
    <x v="6"/>
    <s v="E135"/>
    <x v="7"/>
    <x v="5"/>
    <s v="Warsaw, Poland"/>
    <x v="1"/>
    <n v="217.63"/>
    <s v="Personal Card"/>
    <s v="HR conference"/>
    <x v="1"/>
    <s v="Krakow, Poland"/>
    <n v="0"/>
    <n v="300"/>
    <n v="0"/>
    <n v="0"/>
    <n v="0"/>
    <s v="Complete"/>
    <n v="1"/>
    <n v="217.63"/>
    <s v="Review"/>
    <x v="2"/>
  </r>
  <r>
    <s v="T00222"/>
    <d v="2025-06-27T00:00:00"/>
    <n v="2025"/>
    <n v="6"/>
    <s v="June"/>
    <x v="4"/>
    <s v="E157"/>
    <x v="2"/>
    <x v="1"/>
    <s v="Warsaw, Poland"/>
    <x v="4"/>
    <n v="98.07"/>
    <s v="Corporate Card"/>
    <s v="Customer workshop"/>
    <x v="2"/>
    <s v="Krakow, Poland"/>
    <n v="1"/>
    <n v="75"/>
    <n v="23.07"/>
    <n v="0"/>
    <n v="0"/>
    <s v="Complete"/>
    <n v="0"/>
    <n v="0"/>
    <s v="Review"/>
    <x v="4"/>
  </r>
  <r>
    <s v="T00019"/>
    <d v="2025-07-04T00:00:00"/>
    <n v="2025"/>
    <n v="7"/>
    <s v="July"/>
    <x v="2"/>
    <s v="E108"/>
    <x v="22"/>
    <x v="2"/>
    <s v="Warsaw, Poland"/>
    <x v="5"/>
    <n v="42.54"/>
    <s v="Corporate Card"/>
    <s v="Project workshop"/>
    <x v="4"/>
    <s v="Warsaw, Poland"/>
    <n v="0"/>
    <n v="50"/>
    <n v="0"/>
    <n v="0"/>
    <n v="0"/>
    <s v="Complete"/>
    <n v="0"/>
    <n v="0"/>
    <s v="OK"/>
    <x v="0"/>
  </r>
  <r>
    <s v="T00057"/>
    <d v="2025-07-24T00:00:00"/>
    <n v="2025"/>
    <n v="7"/>
    <s v="July"/>
    <x v="2"/>
    <s v="E115"/>
    <x v="29"/>
    <x v="1"/>
    <s v="Berlin, Germany"/>
    <x v="3"/>
    <n v="52.74"/>
    <s v="Personal Card"/>
    <s v="Customer visit"/>
    <x v="2"/>
    <s v="Hamburg, Germany"/>
    <n v="0"/>
    <n v="75"/>
    <n v="0"/>
    <n v="0"/>
    <n v="0"/>
    <s v="Complete"/>
    <n v="1"/>
    <n v="52.74"/>
    <s v="Review"/>
    <x v="2"/>
  </r>
  <r>
    <s v="T00051"/>
    <d v="2025-02-05T00:00:00"/>
    <n v="2025"/>
    <n v="2"/>
    <s v="February"/>
    <x v="1"/>
    <s v="E114"/>
    <x v="12"/>
    <x v="2"/>
    <s v="London, UK"/>
    <x v="5"/>
    <n v="23.62"/>
    <s v="Corporate Card"/>
    <s v="Customer workshop"/>
    <x v="2"/>
    <s v="Edinburgh, UK"/>
    <n v="0"/>
    <n v="50"/>
    <n v="0"/>
    <n v="0"/>
    <n v="0"/>
    <s v="Complete"/>
    <n v="0"/>
    <n v="0"/>
    <s v="OK"/>
    <x v="0"/>
  </r>
  <r>
    <s v="T00278"/>
    <d v="2025-11-24T00:00:00"/>
    <n v="2025"/>
    <n v="11"/>
    <s v="November"/>
    <x v="9"/>
    <s v="E170"/>
    <x v="9"/>
    <x v="0"/>
    <s v="Warsaw, Poland"/>
    <x v="2"/>
    <n v="15.38"/>
    <s v="Corporate Card"/>
    <s v="Internal meeting"/>
    <x v="3"/>
    <s v="Krakow, Poland"/>
    <n v="0"/>
    <n v="30"/>
    <n v="0"/>
    <n v="1"/>
    <n v="15.38"/>
    <s v="Missing Receipt"/>
    <n v="0"/>
    <n v="0"/>
    <s v="Review"/>
    <x v="1"/>
  </r>
  <r>
    <s v="T00289"/>
    <d v="2025-10-03T00:00:00"/>
    <n v="2025"/>
    <n v="10"/>
    <s v="October"/>
    <x v="0"/>
    <s v="E170"/>
    <x v="9"/>
    <x v="0"/>
    <s v="Warsaw, Poland"/>
    <x v="4"/>
    <n v="63.43"/>
    <s v="Corporate Card"/>
    <s v="Supplier meeting"/>
    <x v="5"/>
    <s v="Paris, France"/>
    <n v="0"/>
    <n v="75"/>
    <n v="0"/>
    <n v="0"/>
    <n v="0"/>
    <s v="Complete"/>
    <n v="0"/>
    <n v="0"/>
    <s v="OK"/>
    <x v="0"/>
  </r>
  <r>
    <s v="T00241"/>
    <d v="2025-10-29T00:00:00"/>
    <n v="2025"/>
    <n v="10"/>
    <s v="October"/>
    <x v="0"/>
    <s v="E159"/>
    <x v="21"/>
    <x v="5"/>
    <s v="Warsaw, Poland"/>
    <x v="6"/>
    <n v="471.33"/>
    <s v="Corporate Card"/>
    <s v="Business trip"/>
    <x v="0"/>
    <s v="Warsaw, Poland"/>
    <n v="0"/>
    <n v="800"/>
    <n v="0"/>
    <n v="0"/>
    <n v="0"/>
    <s v="Complete"/>
    <n v="0"/>
    <n v="0"/>
    <s v="OK"/>
    <x v="0"/>
  </r>
  <r>
    <s v="T00270"/>
    <d v="2025-12-12T00:00:00"/>
    <n v="2025"/>
    <n v="12"/>
    <s v="December"/>
    <x v="6"/>
    <s v="E169"/>
    <x v="15"/>
    <x v="1"/>
    <s v="London, UK"/>
    <x v="6"/>
    <n v="874.08"/>
    <s v="Personal Card"/>
    <s v="Client visit"/>
    <x v="2"/>
    <s v="Amsterdam, Netherlands"/>
    <n v="1"/>
    <n v="800"/>
    <n v="74.08"/>
    <n v="0"/>
    <n v="0"/>
    <s v="Complete"/>
    <n v="1"/>
    <n v="874.08"/>
    <s v="Review"/>
    <x v="6"/>
  </r>
  <r>
    <s v="T00238"/>
    <d v="2025-02-28T00:00:00"/>
    <n v="2025"/>
    <n v="2"/>
    <s v="February"/>
    <x v="1"/>
    <s v="E159"/>
    <x v="21"/>
    <x v="5"/>
    <s v="Warsaw, Poland"/>
    <x v="4"/>
    <n v="28.62"/>
    <s v="Corporate Card"/>
    <s v="Business trip"/>
    <x v="0"/>
    <s v="Gdansk, Poland"/>
    <n v="0"/>
    <n v="75"/>
    <n v="0"/>
    <n v="0"/>
    <n v="0"/>
    <s v="Complete"/>
    <n v="0"/>
    <n v="0"/>
    <s v="OK"/>
    <x v="0"/>
  </r>
  <r>
    <s v="T00237"/>
    <d v="2025-10-28T00:00:00"/>
    <n v="2025"/>
    <n v="10"/>
    <s v="October"/>
    <x v="0"/>
    <s v="E159"/>
    <x v="21"/>
    <x v="5"/>
    <s v="Warsaw, Poland"/>
    <x v="5"/>
    <n v="23.51"/>
    <s v="Corporate Card"/>
    <s v="HR workshop"/>
    <x v="1"/>
    <s v="Wroclaw, Poland"/>
    <n v="0"/>
    <n v="50"/>
    <n v="0"/>
    <n v="1"/>
    <n v="23.51"/>
    <s v="Missing Receipt"/>
    <n v="0"/>
    <n v="0"/>
    <s v="Review"/>
    <x v="1"/>
  </r>
  <r>
    <s v="T00090"/>
    <d v="2025-05-14T00:00:00"/>
    <n v="2025"/>
    <n v="5"/>
    <s v="May"/>
    <x v="7"/>
    <s v="E123"/>
    <x v="18"/>
    <x v="5"/>
    <s v="Berlin, Germany"/>
    <x v="3"/>
    <n v="89.27"/>
    <s v="Corporate Card"/>
    <s v="Customer visit"/>
    <x v="2"/>
    <s v="Prague, Czech Republic"/>
    <n v="1"/>
    <n v="75"/>
    <n v="14.27"/>
    <n v="1"/>
    <n v="89.27"/>
    <s v="Missing Receipt"/>
    <n v="0"/>
    <n v="0"/>
    <s v="Review"/>
    <x v="7"/>
  </r>
  <r>
    <s v="T00032"/>
    <d v="2025-07-25T00:00:00"/>
    <n v="2025"/>
    <n v="7"/>
    <s v="July"/>
    <x v="2"/>
    <s v="E111"/>
    <x v="13"/>
    <x v="5"/>
    <s v="Warsaw, Poland"/>
    <x v="3"/>
    <n v="50.08"/>
    <s v="Personal Card"/>
    <s v="Client meeting"/>
    <x v="2"/>
    <s v="Prague, Czech Republic"/>
    <n v="0"/>
    <n v="75"/>
    <n v="0"/>
    <n v="0"/>
    <n v="0"/>
    <s v="Complete"/>
    <n v="1"/>
    <n v="50.08"/>
    <s v="Review"/>
    <x v="2"/>
  </r>
  <r>
    <s v="T00280"/>
    <d v="2025-01-20T00:00:00"/>
    <n v="2025"/>
    <n v="1"/>
    <s v="January"/>
    <x v="11"/>
    <s v="E170"/>
    <x v="9"/>
    <x v="0"/>
    <s v="Warsaw, Poland"/>
    <x v="6"/>
    <n v="911.13"/>
    <s v="Corporate Card"/>
    <s v="Training"/>
    <x v="1"/>
    <s v="Vienna, Austria"/>
    <n v="1"/>
    <n v="800"/>
    <n v="111.13"/>
    <n v="0"/>
    <n v="0"/>
    <s v="Complete"/>
    <n v="0"/>
    <n v="0"/>
    <s v="Review"/>
    <x v="4"/>
  </r>
  <r>
    <s v="T00200"/>
    <d v="2025-09-22T00:00:00"/>
    <n v="2025"/>
    <n v="9"/>
    <s v="September"/>
    <x v="8"/>
    <s v="E157"/>
    <x v="2"/>
    <x v="1"/>
    <s v="Warsaw, Poland"/>
    <x v="4"/>
    <n v="54.47"/>
    <s v="Corporate Card"/>
    <s v="Customer workshop"/>
    <x v="2"/>
    <s v="Gdansk, Poland"/>
    <n v="0"/>
    <n v="75"/>
    <n v="0"/>
    <n v="0"/>
    <n v="0"/>
    <s v="Complete"/>
    <n v="0"/>
    <n v="0"/>
    <s v="OK"/>
    <x v="0"/>
  </r>
  <r>
    <s v="T00128"/>
    <d v="2025-07-14T00:00:00"/>
    <n v="2025"/>
    <n v="7"/>
    <s v="July"/>
    <x v="2"/>
    <s v="E138"/>
    <x v="23"/>
    <x v="2"/>
    <s v="Warsaw, Poland"/>
    <x v="4"/>
    <n v="69.209999999999994"/>
    <s v="Personal Card"/>
    <s v="Client dinner"/>
    <x v="2"/>
    <s v="Gdansk, Poland"/>
    <n v="0"/>
    <n v="75"/>
    <n v="0"/>
    <n v="0"/>
    <n v="0"/>
    <s v="Complete"/>
    <n v="1"/>
    <n v="69.209999999999994"/>
    <s v="Review"/>
    <x v="2"/>
  </r>
  <r>
    <s v="T00265"/>
    <d v="2025-03-03T00:00:00"/>
    <n v="2025"/>
    <n v="3"/>
    <s v="March"/>
    <x v="10"/>
    <s v="E169"/>
    <x v="15"/>
    <x v="1"/>
    <s v="London, UK"/>
    <x v="5"/>
    <n v="23.11"/>
    <s v="Corporate Card"/>
    <s v="Customer workshop"/>
    <x v="2"/>
    <s v="Paris, France"/>
    <n v="0"/>
    <n v="50"/>
    <n v="0"/>
    <n v="0"/>
    <n v="0"/>
    <s v="Complete"/>
    <n v="0"/>
    <n v="0"/>
    <s v="OK"/>
    <x v="0"/>
  </r>
  <r>
    <s v="T00066"/>
    <d v="2025-07-29T00:00:00"/>
    <n v="2025"/>
    <n v="7"/>
    <s v="July"/>
    <x v="2"/>
    <s v="E117"/>
    <x v="43"/>
    <x v="5"/>
    <s v="Warsaw, Poland"/>
    <x v="5"/>
    <n v="14.56"/>
    <s v="Corporate Card"/>
    <s v="Conference attendance"/>
    <x v="1"/>
    <s v="Krakow, Poland"/>
    <n v="0"/>
    <n v="50"/>
    <n v="0"/>
    <n v="1"/>
    <n v="14.56"/>
    <s v="Missing Receipt"/>
    <n v="0"/>
    <n v="0"/>
    <s v="Review"/>
    <x v="1"/>
  </r>
  <r>
    <s v="T00154"/>
    <d v="2025-10-14T00:00:00"/>
    <n v="2025"/>
    <n v="10"/>
    <s v="October"/>
    <x v="0"/>
    <s v="E143"/>
    <x v="5"/>
    <x v="4"/>
    <s v="London, UK"/>
    <x v="5"/>
    <n v="29.82"/>
    <s v="Personal Card"/>
    <s v="Business trip"/>
    <x v="0"/>
    <s v="Dublin, Ireland"/>
    <n v="0"/>
    <n v="50"/>
    <n v="0"/>
    <n v="0"/>
    <n v="0"/>
    <s v="Complete"/>
    <n v="1"/>
    <n v="29.82"/>
    <s v="Review"/>
    <x v="2"/>
  </r>
  <r>
    <s v="T00211"/>
    <d v="2025-04-09T00:00:00"/>
    <n v="2025"/>
    <n v="4"/>
    <s v="April"/>
    <x v="3"/>
    <s v="E157"/>
    <x v="2"/>
    <x v="1"/>
    <s v="Warsaw, Poland"/>
    <x v="3"/>
    <n v="48.51"/>
    <s v="Corporate Card"/>
    <s v="Conference attendance"/>
    <x v="1"/>
    <s v="Vienna, Austria"/>
    <n v="0"/>
    <n v="75"/>
    <n v="0"/>
    <n v="0"/>
    <n v="0"/>
    <s v="Complete"/>
    <n v="0"/>
    <n v="0"/>
    <s v="OK"/>
    <x v="0"/>
  </r>
  <r>
    <s v="T00080"/>
    <d v="2025-02-07T00:00:00"/>
    <n v="2025"/>
    <n v="2"/>
    <s v="February"/>
    <x v="1"/>
    <s v="E121"/>
    <x v="11"/>
    <x v="1"/>
    <s v="Warsaw, Poland"/>
    <x v="3"/>
    <n v="27.72"/>
    <s v="Corporate Card"/>
    <s v="Customer visit"/>
    <x v="2"/>
    <s v="Wroclaw, Poland"/>
    <n v="0"/>
    <n v="75"/>
    <n v="0"/>
    <n v="0"/>
    <n v="0"/>
    <s v="Complete"/>
    <n v="0"/>
    <n v="0"/>
    <s v="OK"/>
    <x v="0"/>
  </r>
  <r>
    <s v="T00177"/>
    <d v="2025-03-31T00:00:00"/>
    <n v="2025"/>
    <n v="3"/>
    <s v="March"/>
    <x v="10"/>
    <s v="E153"/>
    <x v="6"/>
    <x v="5"/>
    <s v="Warsaw, Poland"/>
    <x v="5"/>
    <n v="21.53"/>
    <s v="Corporate Card"/>
    <s v="Internal meeting"/>
    <x v="3"/>
    <s v="Krakow, Poland"/>
    <n v="0"/>
    <n v="50"/>
    <n v="0"/>
    <n v="0"/>
    <n v="0"/>
    <s v="Complete"/>
    <n v="0"/>
    <n v="0"/>
    <s v="OK"/>
    <x v="0"/>
  </r>
  <r>
    <s v="T00176"/>
    <d v="2025-09-18T00:00:00"/>
    <n v="2025"/>
    <n v="9"/>
    <s v="September"/>
    <x v="8"/>
    <s v="E153"/>
    <x v="6"/>
    <x v="5"/>
    <s v="Warsaw, Poland"/>
    <x v="3"/>
    <n v="32.770000000000003"/>
    <s v="Corporate Card"/>
    <s v="Conference attendance"/>
    <x v="1"/>
    <s v="Prague, Czech Republic"/>
    <n v="0"/>
    <n v="75"/>
    <n v="0"/>
    <n v="0"/>
    <n v="0"/>
    <s v="Complete"/>
    <n v="0"/>
    <n v="0"/>
    <s v="OK"/>
    <x v="0"/>
  </r>
  <r>
    <s v="T00139"/>
    <d v="2025-05-09T00:00:00"/>
    <n v="2025"/>
    <n v="5"/>
    <s v="May"/>
    <x v="7"/>
    <s v="E141"/>
    <x v="20"/>
    <x v="5"/>
    <s v="Berlin, Germany"/>
    <x v="1"/>
    <n v="271.72000000000003"/>
    <s v="Personal Card"/>
    <s v="Project workshop"/>
    <x v="4"/>
    <s v="Hamburg, Germany"/>
    <n v="0"/>
    <n v="300"/>
    <n v="0"/>
    <n v="0"/>
    <n v="0"/>
    <s v="Complete"/>
    <n v="1"/>
    <n v="271.72000000000003"/>
    <s v="Review"/>
    <x v="2"/>
  </r>
  <r>
    <s v="T00271"/>
    <d v="2025-11-12T00:00:00"/>
    <n v="2025"/>
    <n v="11"/>
    <s v="November"/>
    <x v="9"/>
    <s v="E169"/>
    <x v="15"/>
    <x v="1"/>
    <s v="London, UK"/>
    <x v="2"/>
    <n v="17.3"/>
    <s v="Corporate Card"/>
    <s v="Client meeting"/>
    <x v="2"/>
    <s v="Manchester, UK"/>
    <n v="0"/>
    <n v="30"/>
    <n v="0"/>
    <n v="0"/>
    <n v="0"/>
    <s v="Complete"/>
    <n v="0"/>
    <n v="0"/>
    <s v="OK"/>
    <x v="0"/>
  </r>
  <r>
    <s v="T00125"/>
    <d v="2025-09-09T00:00:00"/>
    <n v="2025"/>
    <n v="9"/>
    <s v="September"/>
    <x v="8"/>
    <s v="E137"/>
    <x v="33"/>
    <x v="4"/>
    <s v="Berlin, Germany"/>
    <x v="5"/>
    <n v="16.329999999999998"/>
    <s v="Corporate Card"/>
    <s v="Prospect meeting"/>
    <x v="2"/>
    <s v="Prague, Czech Republic"/>
    <n v="0"/>
    <n v="50"/>
    <n v="0"/>
    <n v="0"/>
    <n v="0"/>
    <s v="Complete"/>
    <n v="0"/>
    <n v="0"/>
    <s v="OK"/>
    <x v="0"/>
  </r>
  <r>
    <s v="T00244"/>
    <d v="2025-10-10T00:00:00"/>
    <n v="2025"/>
    <n v="10"/>
    <s v="October"/>
    <x v="0"/>
    <s v="E160"/>
    <x v="44"/>
    <x v="3"/>
    <s v="London, UK"/>
    <x v="0"/>
    <n v="125.61"/>
    <s v="Corporate Card"/>
    <s v="Customer visit"/>
    <x v="2"/>
    <s v="Berlin, Germany"/>
    <n v="0"/>
    <n v="150"/>
    <n v="0"/>
    <n v="0"/>
    <n v="0"/>
    <s v="Complete"/>
    <n v="0"/>
    <n v="0"/>
    <s v="OK"/>
    <x v="0"/>
  </r>
  <r>
    <s v="T00045"/>
    <d v="2025-08-07T00:00:00"/>
    <n v="2025"/>
    <n v="8"/>
    <s v="August"/>
    <x v="5"/>
    <s v="E114"/>
    <x v="12"/>
    <x v="2"/>
    <s v="London, UK"/>
    <x v="4"/>
    <n v="57.56"/>
    <s v="Corporate Card"/>
    <s v="Team dinner"/>
    <x v="3"/>
    <s v="Amsterdam, Netherlands"/>
    <n v="0"/>
    <n v="75"/>
    <n v="0"/>
    <n v="0"/>
    <n v="0"/>
    <s v="Complete"/>
    <n v="0"/>
    <n v="0"/>
    <s v="OK"/>
    <x v="0"/>
  </r>
  <r>
    <s v="T00279"/>
    <d v="2025-02-18T00:00:00"/>
    <n v="2025"/>
    <n v="2"/>
    <s v="February"/>
    <x v="1"/>
    <s v="E170"/>
    <x v="9"/>
    <x v="0"/>
    <s v="Warsaw, Poland"/>
    <x v="5"/>
    <n v="36.700000000000003"/>
    <s v="Corporate Card"/>
    <s v="Internal meeting"/>
    <x v="3"/>
    <s v="Warsaw, Poland"/>
    <n v="0"/>
    <n v="50"/>
    <n v="0"/>
    <n v="0"/>
    <n v="0"/>
    <s v="Complete"/>
    <n v="0"/>
    <n v="0"/>
    <s v="OK"/>
    <x v="0"/>
  </r>
  <r>
    <s v="T00071"/>
    <d v="2025-05-22T00:00:00"/>
    <n v="2025"/>
    <n v="5"/>
    <s v="May"/>
    <x v="7"/>
    <s v="E121"/>
    <x v="11"/>
    <x v="1"/>
    <s v="Warsaw, Poland"/>
    <x v="1"/>
    <n v="249.6"/>
    <s v="Personal Card"/>
    <s v="Agency workshop"/>
    <x v="5"/>
    <s v="Gdansk, Poland"/>
    <n v="0"/>
    <n v="300"/>
    <n v="0"/>
    <n v="1"/>
    <n v="249.6"/>
    <s v="Missing Receipt"/>
    <n v="1"/>
    <n v="249.6"/>
    <s v="Review"/>
    <x v="3"/>
  </r>
  <r>
    <s v="T00283"/>
    <d v="2025-05-28T00:00:00"/>
    <n v="2025"/>
    <n v="5"/>
    <s v="May"/>
    <x v="7"/>
    <s v="E170"/>
    <x v="9"/>
    <x v="0"/>
    <s v="Warsaw, Poland"/>
    <x v="4"/>
    <n v="45.77"/>
    <s v="Personal Card"/>
    <s v="Audit meeting"/>
    <x v="4"/>
    <s v="Warsaw, Poland"/>
    <n v="0"/>
    <n v="75"/>
    <n v="0"/>
    <n v="0"/>
    <n v="0"/>
    <s v="Complete"/>
    <n v="1"/>
    <n v="45.77"/>
    <s v="Review"/>
    <x v="2"/>
  </r>
  <r>
    <s v="T00085"/>
    <d v="2025-02-12T00:00:00"/>
    <n v="2025"/>
    <n v="2"/>
    <s v="February"/>
    <x v="1"/>
    <s v="E122"/>
    <x v="34"/>
    <x v="0"/>
    <s v="Warsaw, Poland"/>
    <x v="6"/>
    <n v="1339.25"/>
    <s v="Corporate Card"/>
    <s v="Project workshop"/>
    <x v="4"/>
    <s v="Berlin, Germany"/>
    <n v="1"/>
    <n v="800"/>
    <n v="539.25"/>
    <n v="0"/>
    <n v="0"/>
    <s v="Complete"/>
    <n v="0"/>
    <n v="0"/>
    <s v="Review"/>
    <x v="4"/>
  </r>
  <r>
    <s v="T00040"/>
    <d v="2025-04-28T00:00:00"/>
    <n v="2025"/>
    <n v="4"/>
    <s v="April"/>
    <x v="3"/>
    <s v="E113"/>
    <x v="35"/>
    <x v="4"/>
    <s v="Warsaw, Poland"/>
    <x v="2"/>
    <n v="12.87"/>
    <s v="Corporate Card"/>
    <s v="Travel to customer site"/>
    <x v="0"/>
    <s v="London, UK"/>
    <n v="0"/>
    <n v="30"/>
    <n v="0"/>
    <n v="0"/>
    <n v="0"/>
    <s v="Complete"/>
    <n v="0"/>
    <n v="0"/>
    <s v="OK"/>
    <x v="0"/>
  </r>
  <r>
    <s v="T00221"/>
    <d v="2025-09-17T00:00:00"/>
    <n v="2025"/>
    <n v="9"/>
    <s v="September"/>
    <x v="8"/>
    <s v="E157"/>
    <x v="2"/>
    <x v="1"/>
    <s v="Warsaw, Poland"/>
    <x v="0"/>
    <n v="137.97"/>
    <s v="Personal Card"/>
    <s v="Conference attendance"/>
    <x v="1"/>
    <s v="Paris, France"/>
    <n v="0"/>
    <n v="150"/>
    <n v="0"/>
    <n v="0"/>
    <n v="0"/>
    <s v="Complete"/>
    <n v="1"/>
    <n v="137.97"/>
    <s v="Review"/>
    <x v="2"/>
  </r>
  <r>
    <s v="T00070"/>
    <d v="2025-11-17T00:00:00"/>
    <n v="2025"/>
    <n v="11"/>
    <s v="November"/>
    <x v="9"/>
    <s v="E121"/>
    <x v="11"/>
    <x v="1"/>
    <s v="Warsaw, Poland"/>
    <x v="6"/>
    <n v="459.45"/>
    <s v="Corporate Card"/>
    <s v="Customer visit"/>
    <x v="2"/>
    <s v="Warsaw, Poland"/>
    <n v="0"/>
    <n v="800"/>
    <n v="0"/>
    <n v="0"/>
    <n v="0"/>
    <s v="Complete"/>
    <n v="0"/>
    <n v="0"/>
    <s v="OK"/>
    <x v="0"/>
  </r>
  <r>
    <s v="T00009"/>
    <d v="2025-08-11T00:00:00"/>
    <n v="2025"/>
    <n v="8"/>
    <s v="August"/>
    <x v="5"/>
    <s v="E106"/>
    <x v="4"/>
    <x v="3"/>
    <s v="Warsaw, Poland"/>
    <x v="4"/>
    <n v="38.549999999999997"/>
    <s v="Personal Card"/>
    <s v="Conference attendance"/>
    <x v="1"/>
    <s v="Krakow, Poland"/>
    <n v="0"/>
    <n v="75"/>
    <n v="0"/>
    <n v="0"/>
    <n v="0"/>
    <s v="Complete"/>
    <n v="1"/>
    <n v="38.549999999999997"/>
    <s v="Review"/>
    <x v="2"/>
  </r>
  <r>
    <s v="T00006"/>
    <d v="2025-03-18T00:00:00"/>
    <n v="2025"/>
    <n v="3"/>
    <s v="March"/>
    <x v="10"/>
    <s v="E105"/>
    <x v="45"/>
    <x v="5"/>
    <s v="Warsaw, Poland"/>
    <x v="6"/>
    <n v="596.37"/>
    <s v="Corporate Card"/>
    <s v="HR conference"/>
    <x v="1"/>
    <s v="London, UK"/>
    <n v="0"/>
    <n v="800"/>
    <n v="0"/>
    <n v="0"/>
    <n v="0"/>
    <s v="Complete"/>
    <n v="0"/>
    <n v="0"/>
    <s v="OK"/>
    <x v="0"/>
  </r>
  <r>
    <s v="T00231"/>
    <d v="2025-03-12T00:00:00"/>
    <n v="2025"/>
    <n v="3"/>
    <s v="March"/>
    <x v="10"/>
    <s v="E158"/>
    <x v="0"/>
    <x v="0"/>
    <s v="Berlin, Germany"/>
    <x v="1"/>
    <n v="356.06"/>
    <s v="Corporate Card"/>
    <s v="Finance workshop"/>
    <x v="1"/>
    <s v="Prague, Czech Republic"/>
    <n v="1"/>
    <n v="300"/>
    <n v="56.06"/>
    <n v="0"/>
    <n v="0"/>
    <s v="Complete"/>
    <n v="0"/>
    <n v="0"/>
    <s v="Review"/>
    <x v="4"/>
  </r>
  <r>
    <s v="T00087"/>
    <d v="2025-09-23T00:00:00"/>
    <n v="2025"/>
    <n v="9"/>
    <s v="September"/>
    <x v="8"/>
    <s v="E123"/>
    <x v="18"/>
    <x v="5"/>
    <s v="Berlin, Germany"/>
    <x v="1"/>
    <n v="258.45999999999998"/>
    <s v="Corporate Card"/>
    <s v="HR conference"/>
    <x v="1"/>
    <s v="Frankfurt, Germany"/>
    <n v="0"/>
    <n v="300"/>
    <n v="0"/>
    <n v="0"/>
    <n v="0"/>
    <s v="Complete"/>
    <n v="0"/>
    <n v="0"/>
    <s v="OK"/>
    <x v="0"/>
  </r>
  <r>
    <s v="T00142"/>
    <d v="2025-01-20T00:00:00"/>
    <n v="2025"/>
    <n v="1"/>
    <s v="January"/>
    <x v="11"/>
    <s v="E141"/>
    <x v="20"/>
    <x v="5"/>
    <s v="Berlin, Germany"/>
    <x v="2"/>
    <n v="17.54"/>
    <s v="Corporate Card"/>
    <s v="Travel to customer site"/>
    <x v="0"/>
    <s v="Warsaw, Poland"/>
    <n v="0"/>
    <n v="30"/>
    <n v="0"/>
    <n v="0"/>
    <n v="0"/>
    <s v="Complete"/>
    <n v="0"/>
    <n v="0"/>
    <s v="OK"/>
    <x v="0"/>
  </r>
  <r>
    <s v="T00008"/>
    <d v="2025-03-04T00:00:00"/>
    <n v="2025"/>
    <n v="3"/>
    <s v="March"/>
    <x v="10"/>
    <s v="E105"/>
    <x v="45"/>
    <x v="5"/>
    <s v="Warsaw, Poland"/>
    <x v="6"/>
    <n v="328.29"/>
    <s v="Corporate Card"/>
    <s v="Customer visit"/>
    <x v="2"/>
    <s v="Prague, Czech Republic"/>
    <n v="0"/>
    <n v="800"/>
    <n v="0"/>
    <n v="1"/>
    <n v="328.29"/>
    <s v="Missing Receipt"/>
    <n v="0"/>
    <n v="0"/>
    <s v="Review"/>
    <x v="1"/>
  </r>
  <r>
    <s v="T00266"/>
    <d v="2025-10-13T00:00:00"/>
    <n v="2025"/>
    <n v="10"/>
    <s v="October"/>
    <x v="0"/>
    <s v="E169"/>
    <x v="15"/>
    <x v="1"/>
    <s v="London, UK"/>
    <x v="6"/>
    <n v="524.57000000000005"/>
    <s v="Corporate Card"/>
    <s v="Agency workshop"/>
    <x v="5"/>
    <s v="London, UK"/>
    <n v="0"/>
    <n v="800"/>
    <n v="0"/>
    <n v="0"/>
    <n v="0"/>
    <s v="Complete"/>
    <n v="0"/>
    <n v="0"/>
    <s v="OK"/>
    <x v="0"/>
  </r>
  <r>
    <s v="T00004"/>
    <d v="2025-03-12T00:00:00"/>
    <n v="2025"/>
    <n v="3"/>
    <s v="March"/>
    <x v="10"/>
    <s v="E103"/>
    <x v="19"/>
    <x v="1"/>
    <s v="Warsaw, Poland"/>
    <x v="0"/>
    <n v="49.25"/>
    <s v="Personal Card"/>
    <s v="Internal meeting"/>
    <x v="3"/>
    <s v="Warsaw, Poland"/>
    <n v="0"/>
    <n v="150"/>
    <n v="0"/>
    <n v="0"/>
    <n v="0"/>
    <s v="Complete"/>
    <n v="1"/>
    <n v="49.25"/>
    <s v="Review"/>
    <x v="2"/>
  </r>
  <r>
    <s v="T00134"/>
    <d v="2025-06-18T00:00:00"/>
    <n v="2025"/>
    <n v="6"/>
    <s v="June"/>
    <x v="4"/>
    <s v="E140"/>
    <x v="16"/>
    <x v="0"/>
    <s v="London, UK"/>
    <x v="5"/>
    <n v="22.85"/>
    <s v="Personal Card"/>
    <s v="Audit meeting"/>
    <x v="4"/>
    <s v="Paris, France"/>
    <n v="0"/>
    <n v="50"/>
    <n v="0"/>
    <n v="0"/>
    <n v="0"/>
    <s v="Complete"/>
    <n v="1"/>
    <n v="22.85"/>
    <s v="Review"/>
    <x v="2"/>
  </r>
  <r>
    <s v="T00030"/>
    <d v="2025-10-21T00:00:00"/>
    <n v="2025"/>
    <n v="10"/>
    <s v="October"/>
    <x v="0"/>
    <s v="E111"/>
    <x v="13"/>
    <x v="5"/>
    <s v="Warsaw, Poland"/>
    <x v="4"/>
    <n v="89.97"/>
    <s v="Corporate Card"/>
    <s v="Team dinner"/>
    <x v="3"/>
    <s v="Berlin, Germany"/>
    <n v="1"/>
    <n v="75"/>
    <n v="14.97"/>
    <n v="1"/>
    <n v="89.97"/>
    <s v="Missing Receipt"/>
    <n v="0"/>
    <n v="0"/>
    <s v="Review"/>
    <x v="7"/>
  </r>
  <r>
    <s v="T00023"/>
    <d v="2025-04-24T00:00:00"/>
    <n v="2025"/>
    <n v="4"/>
    <s v="April"/>
    <x v="3"/>
    <s v="E109"/>
    <x v="30"/>
    <x v="1"/>
    <s v="Berlin, Germany"/>
    <x v="1"/>
    <n v="112.64"/>
    <s v="Corporate Card"/>
    <s v="Agency workshop"/>
    <x v="5"/>
    <s v="Prague, Czech Republic"/>
    <n v="0"/>
    <n v="300"/>
    <n v="0"/>
    <n v="0"/>
    <n v="0"/>
    <s v="Complete"/>
    <n v="0"/>
    <n v="0"/>
    <s v="OK"/>
    <x v="0"/>
  </r>
  <r>
    <s v="T00254"/>
    <d v="2025-04-04T00:00:00"/>
    <n v="2025"/>
    <n v="4"/>
    <s v="April"/>
    <x v="3"/>
    <s v="E167"/>
    <x v="36"/>
    <x v="4"/>
    <s v="Warsaw, Poland"/>
    <x v="1"/>
    <n v="318.68"/>
    <s v="Personal Card"/>
    <s v="Conference attendance"/>
    <x v="1"/>
    <s v="Krakow, Poland"/>
    <n v="1"/>
    <n v="300"/>
    <n v="18.68"/>
    <n v="0"/>
    <n v="0"/>
    <s v="Complete"/>
    <n v="1"/>
    <n v="318.68"/>
    <s v="Review"/>
    <x v="6"/>
  </r>
  <r>
    <s v="T00184"/>
    <d v="2025-08-06T00:00:00"/>
    <n v="2025"/>
    <n v="8"/>
    <s v="August"/>
    <x v="5"/>
    <s v="E157"/>
    <x v="2"/>
    <x v="1"/>
    <s v="Warsaw, Poland"/>
    <x v="5"/>
    <n v="26.03"/>
    <s v="Corporate Card"/>
    <s v="Partner meeting"/>
    <x v="5"/>
    <s v="Krakow, Poland"/>
    <n v="0"/>
    <n v="50"/>
    <n v="0"/>
    <n v="0"/>
    <n v="0"/>
    <s v="Complete"/>
    <n v="0"/>
    <n v="0"/>
    <s v="OK"/>
    <x v="0"/>
  </r>
  <r>
    <s v="T00103"/>
    <d v="2025-05-29T00:00:00"/>
    <n v="2025"/>
    <n v="5"/>
    <s v="May"/>
    <x v="7"/>
    <s v="E126"/>
    <x v="42"/>
    <x v="2"/>
    <s v="Berlin, Germany"/>
    <x v="4"/>
    <n v="61.61"/>
    <s v="Corporate Card"/>
    <s v="Project workshop"/>
    <x v="4"/>
    <s v="Amsterdam, Netherlands"/>
    <n v="0"/>
    <n v="75"/>
    <n v="0"/>
    <n v="0"/>
    <n v="0"/>
    <s v="Complete"/>
    <n v="0"/>
    <n v="0"/>
    <s v="OK"/>
    <x v="0"/>
  </r>
  <r>
    <s v="T00094"/>
    <d v="2025-04-15T00:00:00"/>
    <n v="2025"/>
    <n v="4"/>
    <s v="April"/>
    <x v="3"/>
    <s v="E123"/>
    <x v="18"/>
    <x v="5"/>
    <s v="Berlin, Germany"/>
    <x v="4"/>
    <n v="85.48"/>
    <s v="Corporate Card"/>
    <s v="Business trip"/>
    <x v="0"/>
    <s v="Frankfurt, Germany"/>
    <n v="1"/>
    <n v="75"/>
    <n v="10.48"/>
    <n v="0"/>
    <n v="0"/>
    <s v="Complete"/>
    <n v="0"/>
    <n v="0"/>
    <s v="Review"/>
    <x v="4"/>
  </r>
  <r>
    <s v="T00257"/>
    <d v="2025-05-14T00:00:00"/>
    <n v="2025"/>
    <n v="5"/>
    <s v="May"/>
    <x v="7"/>
    <s v="E168"/>
    <x v="3"/>
    <x v="2"/>
    <s v="Berlin, Germany"/>
    <x v="6"/>
    <n v="1063.06"/>
    <s v="Corporate Card"/>
    <s v="Business trip"/>
    <x v="0"/>
    <s v="Warsaw, Poland"/>
    <n v="1"/>
    <n v="800"/>
    <n v="263.06"/>
    <n v="0"/>
    <n v="0"/>
    <s v="Complete"/>
    <n v="0"/>
    <n v="0"/>
    <s v="Review"/>
    <x v="4"/>
  </r>
  <r>
    <s v="T00203"/>
    <d v="2025-08-04T00:00:00"/>
    <n v="2025"/>
    <n v="8"/>
    <s v="August"/>
    <x v="5"/>
    <s v="E157"/>
    <x v="2"/>
    <x v="1"/>
    <s v="Warsaw, Poland"/>
    <x v="5"/>
    <n v="54.45"/>
    <s v="Corporate Card"/>
    <s v="Partner meeting"/>
    <x v="5"/>
    <s v="London, UK"/>
    <n v="1"/>
    <n v="50"/>
    <n v="4.45"/>
    <n v="1"/>
    <n v="54.45"/>
    <s v="Missing Receipt"/>
    <n v="0"/>
    <n v="0"/>
    <s v="Review"/>
    <x v="7"/>
  </r>
  <r>
    <s v="T00053"/>
    <d v="2025-01-13T00:00:00"/>
    <n v="2025"/>
    <n v="1"/>
    <s v="January"/>
    <x v="11"/>
    <s v="E114"/>
    <x v="12"/>
    <x v="2"/>
    <s v="London, UK"/>
    <x v="6"/>
    <n v="322.31"/>
    <s v="Corporate Card"/>
    <s v="Training"/>
    <x v="1"/>
    <s v="Edinburgh, UK"/>
    <n v="0"/>
    <n v="800"/>
    <n v="0"/>
    <n v="0"/>
    <n v="0"/>
    <s v="Complete"/>
    <n v="0"/>
    <n v="0"/>
    <s v="OK"/>
    <x v="0"/>
  </r>
  <r>
    <s v="T00003"/>
    <d v="2025-09-01T00:00:00"/>
    <n v="2025"/>
    <n v="9"/>
    <s v="September"/>
    <x v="8"/>
    <s v="E103"/>
    <x v="19"/>
    <x v="1"/>
    <s v="Warsaw, Poland"/>
    <x v="2"/>
    <n v="11.94"/>
    <s v="Personal Card"/>
    <s v="Conference attendance"/>
    <x v="1"/>
    <s v="London, UK"/>
    <n v="0"/>
    <n v="30"/>
    <n v="0"/>
    <n v="1"/>
    <n v="11.94"/>
    <s v="Missing Receipt"/>
    <n v="1"/>
    <n v="11.94"/>
    <s v="Review"/>
    <x v="3"/>
  </r>
  <r>
    <s v="T00033"/>
    <d v="2025-10-20T00:00:00"/>
    <n v="2025"/>
    <n v="10"/>
    <s v="October"/>
    <x v="0"/>
    <s v="E111"/>
    <x v="13"/>
    <x v="5"/>
    <s v="Warsaw, Poland"/>
    <x v="6"/>
    <n v="735.18"/>
    <s v="Corporate Card"/>
    <s v="Training"/>
    <x v="1"/>
    <s v="Vienna, Austria"/>
    <n v="0"/>
    <n v="800"/>
    <n v="0"/>
    <n v="0"/>
    <n v="0"/>
    <s v="Complete"/>
    <n v="0"/>
    <n v="0"/>
    <s v="OK"/>
    <x v="0"/>
  </r>
  <r>
    <s v="T00291"/>
    <d v="2025-05-16T00:00:00"/>
    <n v="2025"/>
    <n v="5"/>
    <s v="May"/>
    <x v="7"/>
    <s v="E170"/>
    <x v="9"/>
    <x v="0"/>
    <s v="Warsaw, Poland"/>
    <x v="4"/>
    <n v="60.89"/>
    <s v="Corporate Card"/>
    <s v="Business trip"/>
    <x v="0"/>
    <s v="Wroclaw, Poland"/>
    <n v="0"/>
    <n v="75"/>
    <n v="0"/>
    <n v="0"/>
    <n v="0"/>
    <s v="Complete"/>
    <n v="0"/>
    <n v="0"/>
    <s v="OK"/>
    <x v="0"/>
  </r>
  <r>
    <s v="T00216"/>
    <d v="2025-03-14T00:00:00"/>
    <n v="2025"/>
    <n v="3"/>
    <s v="March"/>
    <x v="10"/>
    <s v="E157"/>
    <x v="2"/>
    <x v="1"/>
    <s v="Warsaw, Poland"/>
    <x v="1"/>
    <n v="225.19"/>
    <s v="Corporate Card"/>
    <s v="Agency workshop"/>
    <x v="5"/>
    <s v="Vienna, Austria"/>
    <n v="0"/>
    <n v="300"/>
    <n v="0"/>
    <n v="0"/>
    <n v="0"/>
    <s v="Complete"/>
    <n v="0"/>
    <n v="0"/>
    <s v="OK"/>
    <x v="0"/>
  </r>
  <r>
    <s v="T00056"/>
    <d v="2025-01-22T00:00:00"/>
    <n v="2025"/>
    <n v="1"/>
    <s v="January"/>
    <x v="11"/>
    <s v="E114"/>
    <x v="12"/>
    <x v="2"/>
    <s v="London, UK"/>
    <x v="6"/>
    <n v="580.77"/>
    <s v="Corporate Card"/>
    <s v="Customer visit"/>
    <x v="2"/>
    <s v="Berlin, Germany"/>
    <n v="0"/>
    <n v="800"/>
    <n v="0"/>
    <n v="0"/>
    <n v="0"/>
    <s v="Complete"/>
    <n v="0"/>
    <n v="0"/>
    <s v="OK"/>
    <x v="0"/>
  </r>
  <r>
    <s v="T00076"/>
    <d v="2025-12-18T00:00:00"/>
    <n v="2025"/>
    <n v="12"/>
    <s v="December"/>
    <x v="6"/>
    <s v="E121"/>
    <x v="11"/>
    <x v="1"/>
    <s v="Warsaw, Poland"/>
    <x v="0"/>
    <n v="120.81"/>
    <s v="Corporate Card"/>
    <s v="Business trip"/>
    <x v="0"/>
    <s v="Wroclaw, Poland"/>
    <n v="0"/>
    <n v="150"/>
    <n v="0"/>
    <n v="1"/>
    <n v="120.81"/>
    <s v="Missing Receipt"/>
    <n v="0"/>
    <n v="0"/>
    <s v="Review"/>
    <x v="1"/>
  </r>
  <r>
    <s v="T00007"/>
    <d v="2025-10-06T00:00:00"/>
    <n v="2025"/>
    <n v="10"/>
    <s v="October"/>
    <x v="0"/>
    <s v="E105"/>
    <x v="45"/>
    <x v="5"/>
    <s v="Warsaw, Poland"/>
    <x v="6"/>
    <n v="936.27"/>
    <s v="Corporate Card"/>
    <s v="Business trip"/>
    <x v="0"/>
    <s v="Berlin, Germany"/>
    <n v="1"/>
    <n v="800"/>
    <n v="136.27000000000001"/>
    <n v="0"/>
    <n v="0"/>
    <s v="Complete"/>
    <n v="0"/>
    <n v="0"/>
    <s v="Review"/>
    <x v="4"/>
  </r>
  <r>
    <s v="T00210"/>
    <d v="2025-12-10T00:00:00"/>
    <n v="2025"/>
    <n v="12"/>
    <s v="December"/>
    <x v="6"/>
    <s v="E157"/>
    <x v="2"/>
    <x v="1"/>
    <s v="Warsaw, Poland"/>
    <x v="3"/>
    <n v="60.8"/>
    <s v="Corporate Card"/>
    <s v="Late return from client meeting"/>
    <x v="2"/>
    <s v="Berlin, Germany"/>
    <n v="0"/>
    <n v="75"/>
    <n v="0"/>
    <n v="0"/>
    <n v="0"/>
    <s v="Complete"/>
    <n v="0"/>
    <n v="0"/>
    <s v="OK"/>
    <x v="0"/>
  </r>
  <r>
    <s v="T00068"/>
    <d v="2025-05-29T00:00:00"/>
    <n v="2025"/>
    <n v="5"/>
    <s v="May"/>
    <x v="7"/>
    <s v="E117"/>
    <x v="43"/>
    <x v="5"/>
    <s v="Warsaw, Poland"/>
    <x v="1"/>
    <n v="189.71"/>
    <s v="Personal Card"/>
    <s v="HR conference"/>
    <x v="1"/>
    <s v="Vienna, Austria"/>
    <n v="0"/>
    <n v="300"/>
    <n v="0"/>
    <n v="1"/>
    <n v="189.71"/>
    <s v="Missing Receipt"/>
    <n v="1"/>
    <n v="189.71"/>
    <s v="Review"/>
    <x v="3"/>
  </r>
  <r>
    <s v="T00123"/>
    <d v="2025-07-23T00:00:00"/>
    <n v="2025"/>
    <n v="7"/>
    <s v="July"/>
    <x v="2"/>
    <s v="E135"/>
    <x v="7"/>
    <x v="5"/>
    <s v="Warsaw, Poland"/>
    <x v="6"/>
    <n v="1155.77"/>
    <s v="Corporate Card"/>
    <s v="Supplier meeting"/>
    <x v="5"/>
    <s v="Gdansk, Poland"/>
    <n v="1"/>
    <n v="800"/>
    <n v="355.77"/>
    <n v="1"/>
    <n v="1155.77"/>
    <s v="Missing Receipt"/>
    <n v="0"/>
    <n v="0"/>
    <s v="Review"/>
    <x v="7"/>
  </r>
  <r>
    <s v="T00064"/>
    <d v="2025-11-06T00:00:00"/>
    <n v="2025"/>
    <n v="11"/>
    <s v="November"/>
    <x v="9"/>
    <s v="E116"/>
    <x v="8"/>
    <x v="0"/>
    <s v="Warsaw, Poland"/>
    <x v="5"/>
    <n v="43.45"/>
    <s v="Corporate Card"/>
    <s v="Internal meeting"/>
    <x v="3"/>
    <s v="Gdansk, Poland"/>
    <n v="0"/>
    <n v="50"/>
    <n v="0"/>
    <n v="0"/>
    <n v="0"/>
    <s v="Complete"/>
    <n v="0"/>
    <n v="0"/>
    <s v="OK"/>
    <x v="0"/>
  </r>
  <r>
    <s v="T00024"/>
    <d v="2025-06-13T00:00:00"/>
    <n v="2025"/>
    <n v="6"/>
    <s v="June"/>
    <x v="4"/>
    <s v="E111"/>
    <x v="13"/>
    <x v="5"/>
    <s v="Warsaw, Poland"/>
    <x v="5"/>
    <n v="21.25"/>
    <s v="Corporate Card"/>
    <s v="Business trip"/>
    <x v="0"/>
    <s v="London, UK"/>
    <n v="0"/>
    <n v="50"/>
    <n v="0"/>
    <n v="0"/>
    <n v="0"/>
    <s v="Complete"/>
    <n v="0"/>
    <n v="0"/>
    <s v="OK"/>
    <x v="0"/>
  </r>
  <r>
    <s v="T00151"/>
    <d v="2025-10-08T00:00:00"/>
    <n v="2025"/>
    <n v="10"/>
    <s v="October"/>
    <x v="0"/>
    <s v="E143"/>
    <x v="5"/>
    <x v="4"/>
    <s v="London, UK"/>
    <x v="6"/>
    <n v="858.47"/>
    <s v="Personal Card"/>
    <s v="Customer visit"/>
    <x v="2"/>
    <s v="Edinburgh, UK"/>
    <n v="1"/>
    <n v="800"/>
    <n v="58.47"/>
    <n v="0"/>
    <n v="0"/>
    <s v="Complete"/>
    <n v="1"/>
    <n v="858.47"/>
    <s v="Review"/>
    <x v="6"/>
  </r>
  <r>
    <s v="T00212"/>
    <d v="2025-02-18T00:00:00"/>
    <n v="2025"/>
    <n v="2"/>
    <s v="February"/>
    <x v="1"/>
    <s v="E157"/>
    <x v="2"/>
    <x v="1"/>
    <s v="Warsaw, Poland"/>
    <x v="1"/>
    <n v="141.91"/>
    <s v="Personal Card"/>
    <s v="Business trip"/>
    <x v="0"/>
    <s v="Vienna, Austria"/>
    <n v="0"/>
    <n v="300"/>
    <n v="0"/>
    <n v="0"/>
    <n v="0"/>
    <s v="Complete"/>
    <n v="1"/>
    <n v="141.91"/>
    <s v="Review"/>
    <x v="2"/>
  </r>
  <r>
    <s v="T00069"/>
    <d v="2025-08-12T00:00:00"/>
    <n v="2025"/>
    <n v="8"/>
    <s v="August"/>
    <x v="5"/>
    <s v="E119"/>
    <x v="46"/>
    <x v="4"/>
    <s v="Berlin, Germany"/>
    <x v="5"/>
    <n v="58.14"/>
    <s v="Corporate Card"/>
    <s v="Internal meeting"/>
    <x v="3"/>
    <s v="Vienna, Austria"/>
    <n v="1"/>
    <n v="50"/>
    <n v="8.14"/>
    <n v="0"/>
    <n v="0"/>
    <s v="Complete"/>
    <n v="0"/>
    <n v="0"/>
    <s v="Review"/>
    <x v="4"/>
  </r>
  <r>
    <s v="T00274"/>
    <d v="2025-07-29T00:00:00"/>
    <n v="2025"/>
    <n v="7"/>
    <s v="July"/>
    <x v="2"/>
    <s v="E169"/>
    <x v="15"/>
    <x v="1"/>
    <s v="London, UK"/>
    <x v="4"/>
    <n v="26.19"/>
    <s v="Corporate Card"/>
    <s v="Client dinner"/>
    <x v="2"/>
    <s v="Amsterdam, Netherlands"/>
    <n v="0"/>
    <n v="75"/>
    <n v="0"/>
    <n v="0"/>
    <n v="0"/>
    <s v="Complete"/>
    <n v="0"/>
    <n v="0"/>
    <s v="OK"/>
    <x v="0"/>
  </r>
  <r>
    <s v="T00191"/>
    <d v="2025-08-06T00:00:00"/>
    <n v="2025"/>
    <n v="8"/>
    <s v="August"/>
    <x v="5"/>
    <s v="E157"/>
    <x v="2"/>
    <x v="1"/>
    <s v="Warsaw, Poland"/>
    <x v="6"/>
    <n v="722.61"/>
    <s v="Personal Card"/>
    <s v="Business trip"/>
    <x v="0"/>
    <s v="Prague, Czech Republic"/>
    <n v="0"/>
    <n v="800"/>
    <n v="0"/>
    <n v="0"/>
    <n v="0"/>
    <s v="Complete"/>
    <n v="1"/>
    <n v="722.61"/>
    <s v="Review"/>
    <x v="2"/>
  </r>
  <r>
    <s v="T00217"/>
    <d v="2025-06-20T00:00:00"/>
    <n v="2025"/>
    <n v="6"/>
    <s v="June"/>
    <x v="4"/>
    <s v="E157"/>
    <x v="2"/>
    <x v="1"/>
    <s v="Warsaw, Poland"/>
    <x v="3"/>
    <n v="85.72"/>
    <s v="Corporate Card"/>
    <s v="Airport transfer"/>
    <x v="0"/>
    <s v="Wroclaw, Poland"/>
    <n v="1"/>
    <n v="75"/>
    <n v="10.72"/>
    <n v="0"/>
    <n v="0"/>
    <s v="Complete"/>
    <n v="0"/>
    <n v="0"/>
    <s v="Review"/>
    <x v="4"/>
  </r>
  <r>
    <s v="T00099"/>
    <d v="2025-11-19T00:00:00"/>
    <n v="2025"/>
    <n v="11"/>
    <s v="November"/>
    <x v="9"/>
    <s v="E124"/>
    <x v="47"/>
    <x v="3"/>
    <s v="Warsaw, Poland"/>
    <x v="3"/>
    <n v="45.57"/>
    <s v="Personal Card"/>
    <s v="Customer visit"/>
    <x v="2"/>
    <s v="Wroclaw, Poland"/>
    <n v="0"/>
    <n v="75"/>
    <n v="0"/>
    <n v="0"/>
    <n v="0"/>
    <s v="Complete"/>
    <n v="1"/>
    <n v="45.57"/>
    <s v="Review"/>
    <x v="2"/>
  </r>
  <r>
    <s v="T00195"/>
    <d v="2025-05-12T00:00:00"/>
    <n v="2025"/>
    <n v="5"/>
    <s v="May"/>
    <x v="7"/>
    <s v="E157"/>
    <x v="2"/>
    <x v="1"/>
    <s v="Warsaw, Poland"/>
    <x v="6"/>
    <n v="620.41"/>
    <s v="Corporate Card"/>
    <s v="Sales visit"/>
    <x v="2"/>
    <s v="Berlin, Germany"/>
    <n v="0"/>
    <n v="800"/>
    <n v="0"/>
    <n v="0"/>
    <n v="0"/>
    <s v="Complete"/>
    <n v="0"/>
    <n v="0"/>
    <s v="OK"/>
    <x v="0"/>
  </r>
  <r>
    <s v="T00120"/>
    <d v="2025-09-04T00:00:00"/>
    <n v="2025"/>
    <n v="9"/>
    <s v="September"/>
    <x v="8"/>
    <s v="E135"/>
    <x v="7"/>
    <x v="5"/>
    <s v="Warsaw, Poland"/>
    <x v="5"/>
    <n v="59.77"/>
    <s v="Corporate Card"/>
    <s v="Internal meeting"/>
    <x v="3"/>
    <s v="Berlin, Germany"/>
    <n v="1"/>
    <n v="50"/>
    <n v="9.77"/>
    <n v="1"/>
    <n v="59.77"/>
    <s v="Missing Receipt"/>
    <n v="0"/>
    <n v="0"/>
    <s v="Review"/>
    <x v="7"/>
  </r>
  <r>
    <s v="T00114"/>
    <d v="2025-01-27T00:00:00"/>
    <n v="2025"/>
    <n v="1"/>
    <s v="January"/>
    <x v="11"/>
    <s v="E133"/>
    <x v="32"/>
    <x v="1"/>
    <s v="London, UK"/>
    <x v="6"/>
    <n v="679.39"/>
    <s v="Corporate Card"/>
    <s v="Customer visit"/>
    <x v="2"/>
    <s v="Berlin, Germany"/>
    <n v="0"/>
    <n v="800"/>
    <n v="0"/>
    <n v="0"/>
    <n v="0"/>
    <s v="Complete"/>
    <n v="0"/>
    <n v="0"/>
    <s v="OK"/>
    <x v="0"/>
  </r>
  <r>
    <s v="T00182"/>
    <d v="2025-02-06T00:00:00"/>
    <n v="2025"/>
    <n v="2"/>
    <s v="February"/>
    <x v="1"/>
    <s v="E157"/>
    <x v="2"/>
    <x v="1"/>
    <s v="Warsaw, Poland"/>
    <x v="3"/>
    <n v="44.83"/>
    <s v="Personal Card"/>
    <s v="Travel between offices"/>
    <x v="0"/>
    <s v="Wroclaw, Poland"/>
    <n v="0"/>
    <n v="75"/>
    <n v="0"/>
    <n v="0"/>
    <n v="0"/>
    <s v="Complete"/>
    <n v="1"/>
    <n v="44.83"/>
    <s v="Review"/>
    <x v="2"/>
  </r>
  <r>
    <s v="T00041"/>
    <d v="2025-03-24T00:00:00"/>
    <n v="2025"/>
    <n v="3"/>
    <s v="March"/>
    <x v="10"/>
    <s v="E113"/>
    <x v="35"/>
    <x v="4"/>
    <s v="Warsaw, Poland"/>
    <x v="1"/>
    <n v="352.57"/>
    <s v="Corporate Card"/>
    <s v="Conference attendance"/>
    <x v="1"/>
    <s v="Prague, Czech Republic"/>
    <n v="1"/>
    <n v="300"/>
    <n v="52.57"/>
    <n v="0"/>
    <n v="0"/>
    <s v="Complete"/>
    <n v="0"/>
    <n v="0"/>
    <s v="Review"/>
    <x v="4"/>
  </r>
  <r>
    <s v="T00287"/>
    <d v="2025-05-19T00:00:00"/>
    <n v="2025"/>
    <n v="5"/>
    <s v="May"/>
    <x v="7"/>
    <s v="E170"/>
    <x v="9"/>
    <x v="0"/>
    <s v="Warsaw, Poland"/>
    <x v="5"/>
    <n v="53.73"/>
    <s v="Corporate Card"/>
    <s v="Internal meeting"/>
    <x v="3"/>
    <s v="Berlin, Germany"/>
    <n v="1"/>
    <n v="50"/>
    <n v="3.73"/>
    <n v="0"/>
    <n v="0"/>
    <s v="Complete"/>
    <n v="0"/>
    <n v="0"/>
    <s v="Review"/>
    <x v="4"/>
  </r>
  <r>
    <s v="T00290"/>
    <d v="2025-12-11T00:00:00"/>
    <n v="2025"/>
    <n v="12"/>
    <s v="December"/>
    <x v="6"/>
    <s v="E170"/>
    <x v="9"/>
    <x v="0"/>
    <s v="Warsaw, Poland"/>
    <x v="5"/>
    <n v="60.17"/>
    <s v="Corporate Card"/>
    <s v="Audit meeting"/>
    <x v="4"/>
    <s v="Krakow, Poland"/>
    <n v="1"/>
    <n v="50"/>
    <n v="10.17"/>
    <n v="0"/>
    <n v="0"/>
    <s v="Complete"/>
    <n v="0"/>
    <n v="0"/>
    <s v="Review"/>
    <x v="4"/>
  </r>
  <r>
    <s v="T00052"/>
    <d v="2025-09-08T00:00:00"/>
    <n v="2025"/>
    <n v="9"/>
    <s v="September"/>
    <x v="8"/>
    <s v="E114"/>
    <x v="12"/>
    <x v="2"/>
    <s v="London, UK"/>
    <x v="1"/>
    <n v="195.44"/>
    <s v="Personal Card"/>
    <s v="Supplier meeting"/>
    <x v="5"/>
    <s v="Amsterdam, Netherlands"/>
    <n v="0"/>
    <n v="300"/>
    <n v="0"/>
    <n v="0"/>
    <n v="0"/>
    <s v="Complete"/>
    <n v="1"/>
    <n v="195.44"/>
    <s v="Review"/>
    <x v="2"/>
  </r>
  <r>
    <s v="T00157"/>
    <d v="2025-11-05T00:00:00"/>
    <n v="2025"/>
    <n v="11"/>
    <s v="November"/>
    <x v="9"/>
    <s v="E143"/>
    <x v="5"/>
    <x v="4"/>
    <s v="London, UK"/>
    <x v="4"/>
    <n v="47.04"/>
    <s v="Corporate Card"/>
    <s v="Client dinner"/>
    <x v="2"/>
    <s v="Paris, France"/>
    <n v="0"/>
    <n v="75"/>
    <n v="0"/>
    <n v="0"/>
    <n v="0"/>
    <s v="Complete"/>
    <n v="0"/>
    <n v="0"/>
    <s v="OK"/>
    <x v="0"/>
  </r>
  <r>
    <s v="T00016"/>
    <d v="2025-01-10T00:00:00"/>
    <n v="2025"/>
    <n v="1"/>
    <s v="January"/>
    <x v="11"/>
    <s v="E108"/>
    <x v="22"/>
    <x v="2"/>
    <s v="Warsaw, Poland"/>
    <x v="5"/>
    <n v="32.450000000000003"/>
    <s v="Corporate Card"/>
    <s v="Customer workshop"/>
    <x v="2"/>
    <s v="Krakow, Poland"/>
    <n v="0"/>
    <n v="50"/>
    <n v="0"/>
    <n v="1"/>
    <n v="32.450000000000003"/>
    <s v="Missing Receipt"/>
    <n v="0"/>
    <n v="0"/>
    <s v="Review"/>
    <x v="1"/>
  </r>
  <r>
    <s v="T00275"/>
    <d v="2025-03-27T00:00:00"/>
    <n v="2025"/>
    <n v="3"/>
    <s v="March"/>
    <x v="10"/>
    <s v="E169"/>
    <x v="15"/>
    <x v="1"/>
    <s v="London, UK"/>
    <x v="2"/>
    <n v="13.93"/>
    <s v="Corporate Card"/>
    <s v="Client meeting"/>
    <x v="2"/>
    <s v="Paris, France"/>
    <n v="0"/>
    <n v="30"/>
    <n v="0"/>
    <n v="0"/>
    <n v="0"/>
    <s v="Complete"/>
    <n v="0"/>
    <n v="0"/>
    <s v="OK"/>
    <x v="0"/>
  </r>
  <r>
    <s v="T00155"/>
    <d v="2025-07-02T00:00:00"/>
    <n v="2025"/>
    <n v="7"/>
    <s v="July"/>
    <x v="2"/>
    <s v="E143"/>
    <x v="5"/>
    <x v="4"/>
    <s v="London, UK"/>
    <x v="6"/>
    <n v="878.29"/>
    <s v="Personal Card"/>
    <s v="Customer visit"/>
    <x v="2"/>
    <s v="Berlin, Germany"/>
    <n v="1"/>
    <n v="800"/>
    <n v="78.290000000000006"/>
    <n v="0"/>
    <n v="0"/>
    <s v="Complete"/>
    <n v="1"/>
    <n v="878.29"/>
    <s v="Review"/>
    <x v="6"/>
  </r>
  <r>
    <s v="T00091"/>
    <d v="2025-08-05T00:00:00"/>
    <n v="2025"/>
    <n v="8"/>
    <s v="August"/>
    <x v="5"/>
    <s v="E123"/>
    <x v="18"/>
    <x v="5"/>
    <s v="Berlin, Germany"/>
    <x v="5"/>
    <n v="35.93"/>
    <s v="Corporate Card"/>
    <s v="HR workshop"/>
    <x v="1"/>
    <s v="Hamburg, Germany"/>
    <n v="0"/>
    <n v="50"/>
    <n v="0"/>
    <n v="0"/>
    <n v="0"/>
    <s v="Complete"/>
    <n v="0"/>
    <n v="0"/>
    <s v="OK"/>
    <x v="0"/>
  </r>
  <r>
    <s v="T00264"/>
    <d v="2025-01-30T00:00:00"/>
    <n v="2025"/>
    <n v="1"/>
    <s v="January"/>
    <x v="11"/>
    <s v="E169"/>
    <x v="15"/>
    <x v="1"/>
    <s v="London, UK"/>
    <x v="6"/>
    <n v="1631.75"/>
    <s v="Corporate Card"/>
    <s v="Agency workshop"/>
    <x v="5"/>
    <s v="Edinburgh, UK"/>
    <n v="1"/>
    <n v="800"/>
    <n v="831.75"/>
    <n v="0"/>
    <n v="0"/>
    <s v="Complete"/>
    <n v="0"/>
    <n v="0"/>
    <s v="Review"/>
    <x v="4"/>
  </r>
  <r>
    <s v="T00209"/>
    <d v="2025-04-28T00:00:00"/>
    <n v="2025"/>
    <n v="4"/>
    <s v="April"/>
    <x v="3"/>
    <s v="E157"/>
    <x v="2"/>
    <x v="1"/>
    <s v="Warsaw, Poland"/>
    <x v="0"/>
    <n v="109.18"/>
    <s v="Corporate Card"/>
    <s v="Training"/>
    <x v="1"/>
    <s v="Vienna, Austria"/>
    <n v="0"/>
    <n v="150"/>
    <n v="0"/>
    <n v="0"/>
    <n v="0"/>
    <s v="Complete"/>
    <n v="0"/>
    <n v="0"/>
    <s v="OK"/>
    <x v="0"/>
  </r>
  <r>
    <s v="T00218"/>
    <d v="2025-02-06T00:00:00"/>
    <n v="2025"/>
    <n v="2"/>
    <s v="February"/>
    <x v="1"/>
    <s v="E157"/>
    <x v="2"/>
    <x v="1"/>
    <s v="Warsaw, Poland"/>
    <x v="6"/>
    <n v="521.54999999999995"/>
    <s v="Corporate Card"/>
    <s v="Client visit"/>
    <x v="2"/>
    <s v="London, UK"/>
    <n v="0"/>
    <n v="800"/>
    <n v="0"/>
    <n v="1"/>
    <n v="521.54999999999995"/>
    <s v="Missing Receipt"/>
    <n v="0"/>
    <n v="0"/>
    <s v="Review"/>
    <x v="1"/>
  </r>
  <r>
    <s v="T00141"/>
    <d v="2025-07-29T00:00:00"/>
    <n v="2025"/>
    <n v="7"/>
    <s v="July"/>
    <x v="2"/>
    <s v="E141"/>
    <x v="20"/>
    <x v="5"/>
    <s v="Berlin, Germany"/>
    <x v="0"/>
    <n v="162.09"/>
    <s v="Corporate Card"/>
    <s v="Supplier meeting"/>
    <x v="5"/>
    <s v="Frankfurt, Germany"/>
    <n v="1"/>
    <n v="150"/>
    <n v="12.09"/>
    <n v="0"/>
    <n v="0"/>
    <s v="Complete"/>
    <n v="0"/>
    <n v="0"/>
    <s v="Review"/>
    <x v="4"/>
  </r>
  <r>
    <s v="T00020"/>
    <d v="2025-10-31T00:00:00"/>
    <n v="2025"/>
    <n v="10"/>
    <s v="October"/>
    <x v="0"/>
    <s v="E108"/>
    <x v="22"/>
    <x v="2"/>
    <s v="Warsaw, Poland"/>
    <x v="1"/>
    <n v="277.64999999999998"/>
    <s v="Corporate Card"/>
    <s v="Customer visit"/>
    <x v="2"/>
    <s v="Gdansk, Poland"/>
    <n v="0"/>
    <n v="300"/>
    <n v="0"/>
    <n v="0"/>
    <n v="0"/>
    <s v="Complete"/>
    <n v="0"/>
    <n v="0"/>
    <s v="OK"/>
    <x v="0"/>
  </r>
  <r>
    <s v="T00055"/>
    <d v="2025-08-12T00:00:00"/>
    <n v="2025"/>
    <n v="8"/>
    <s v="August"/>
    <x v="5"/>
    <s v="E114"/>
    <x v="12"/>
    <x v="2"/>
    <s v="London, UK"/>
    <x v="4"/>
    <n v="80.11"/>
    <s v="Personal Card"/>
    <s v="Partner meeting"/>
    <x v="5"/>
    <s v="Berlin, Germany"/>
    <n v="1"/>
    <n v="75"/>
    <n v="5.1100000000000003"/>
    <n v="0"/>
    <n v="0"/>
    <s v="Complete"/>
    <n v="1"/>
    <n v="80.11"/>
    <s v="Review"/>
    <x v="6"/>
  </r>
  <r>
    <s v="T00104"/>
    <d v="2025-10-20T00:00:00"/>
    <n v="2025"/>
    <n v="10"/>
    <s v="October"/>
    <x v="0"/>
    <s v="E126"/>
    <x v="42"/>
    <x v="2"/>
    <s v="Berlin, Germany"/>
    <x v="4"/>
    <n v="85.3"/>
    <s v="Personal Card"/>
    <s v="Customer workshop"/>
    <x v="2"/>
    <s v="Munich, Germany"/>
    <n v="1"/>
    <n v="75"/>
    <n v="10.3"/>
    <n v="0"/>
    <n v="0"/>
    <s v="Complete"/>
    <n v="1"/>
    <n v="85.3"/>
    <s v="Review"/>
    <x v="6"/>
  </r>
  <r>
    <s v="T00202"/>
    <d v="2025-12-19T00:00:00"/>
    <n v="2025"/>
    <n v="12"/>
    <s v="December"/>
    <x v="6"/>
    <s v="E157"/>
    <x v="2"/>
    <x v="1"/>
    <s v="Warsaw, Poland"/>
    <x v="6"/>
    <n v="928.43"/>
    <s v="Corporate Card"/>
    <s v="Campaign event"/>
    <x v="1"/>
    <s v="Warsaw, Poland"/>
    <n v="1"/>
    <n v="800"/>
    <n v="128.43"/>
    <n v="0"/>
    <n v="0"/>
    <s v="Complete"/>
    <n v="0"/>
    <n v="0"/>
    <s v="Review"/>
    <x v="4"/>
  </r>
  <r>
    <s v="T00215"/>
    <d v="2025-11-27T00:00:00"/>
    <n v="2025"/>
    <n v="11"/>
    <s v="November"/>
    <x v="9"/>
    <s v="E157"/>
    <x v="2"/>
    <x v="1"/>
    <s v="Warsaw, Poland"/>
    <x v="0"/>
    <n v="129.86000000000001"/>
    <s v="Corporate Card"/>
    <s v="Internal meeting"/>
    <x v="3"/>
    <s v="Paris, France"/>
    <n v="0"/>
    <n v="150"/>
    <n v="0"/>
    <n v="0"/>
    <n v="0"/>
    <s v="Complete"/>
    <n v="0"/>
    <n v="0"/>
    <s v="OK"/>
    <x v="0"/>
  </r>
  <r>
    <s v="T00174"/>
    <d v="2025-11-21T00:00:00"/>
    <n v="2025"/>
    <n v="11"/>
    <s v="November"/>
    <x v="9"/>
    <s v="E151"/>
    <x v="37"/>
    <x v="1"/>
    <s v="Berlin, Germany"/>
    <x v="4"/>
    <n v="46.15"/>
    <s v="Corporate Card"/>
    <s v="Agency dinner"/>
    <x v="5"/>
    <s v="Vienna, Austria"/>
    <n v="0"/>
    <n v="75"/>
    <n v="0"/>
    <n v="1"/>
    <n v="46.15"/>
    <s v="Missing Receipt"/>
    <n v="0"/>
    <n v="0"/>
    <s v="Review"/>
    <x v="1"/>
  </r>
  <r>
    <s v="T00223"/>
    <d v="2025-05-20T00:00:00"/>
    <n v="2025"/>
    <n v="5"/>
    <s v="May"/>
    <x v="7"/>
    <s v="E157"/>
    <x v="2"/>
    <x v="1"/>
    <s v="Warsaw, Poland"/>
    <x v="0"/>
    <n v="68.8"/>
    <s v="Corporate Card"/>
    <s v="Customer visit"/>
    <x v="2"/>
    <s v="Paris, France"/>
    <n v="0"/>
    <n v="150"/>
    <n v="0"/>
    <n v="0"/>
    <n v="0"/>
    <s v="Complete"/>
    <n v="0"/>
    <n v="0"/>
    <s v="OK"/>
    <x v="0"/>
  </r>
  <r>
    <s v="T00171"/>
    <d v="2025-03-20T00:00:00"/>
    <n v="2025"/>
    <n v="3"/>
    <s v="March"/>
    <x v="10"/>
    <s v="E151"/>
    <x v="37"/>
    <x v="1"/>
    <s v="Berlin, Germany"/>
    <x v="6"/>
    <n v="307.33999999999997"/>
    <s v="Corporate Card"/>
    <s v="Campaign event"/>
    <x v="1"/>
    <s v="Munich, Germany"/>
    <n v="0"/>
    <n v="800"/>
    <n v="0"/>
    <n v="0"/>
    <n v="0"/>
    <s v="Complete"/>
    <n v="0"/>
    <n v="0"/>
    <s v="OK"/>
    <x v="0"/>
  </r>
  <r>
    <s v="T00110"/>
    <d v="2025-05-16T00:00:00"/>
    <n v="2025"/>
    <n v="5"/>
    <s v="May"/>
    <x v="7"/>
    <s v="E130"/>
    <x v="38"/>
    <x v="3"/>
    <s v="Warsaw, Poland"/>
    <x v="4"/>
    <n v="38.51"/>
    <s v="Corporate Card"/>
    <s v="Business trip"/>
    <x v="0"/>
    <s v="London, UK"/>
    <n v="0"/>
    <n v="75"/>
    <n v="0"/>
    <n v="0"/>
    <n v="0"/>
    <s v="Complete"/>
    <n v="0"/>
    <n v="0"/>
    <s v="OK"/>
    <x v="0"/>
  </r>
  <r>
    <s v="T00302"/>
    <d v="2025-01-06T00:00:00"/>
    <n v="2025"/>
    <n v="1"/>
    <s v="January"/>
    <x v="11"/>
    <s v="E171"/>
    <x v="27"/>
    <x v="5"/>
    <s v="London, UK"/>
    <x v="4"/>
    <n v="87.38"/>
    <s v="Personal Card"/>
    <s v="HR workshop"/>
    <x v="1"/>
    <s v="Dublin, Ireland"/>
    <n v="1"/>
    <n v="75"/>
    <n v="12.38"/>
    <n v="0"/>
    <n v="0"/>
    <s v="Complete"/>
    <n v="1"/>
    <n v="87.38"/>
    <s v="Review"/>
    <x v="6"/>
  </r>
  <r>
    <s v="T00156"/>
    <d v="2025-01-24T00:00:00"/>
    <n v="2025"/>
    <n v="1"/>
    <s v="January"/>
    <x v="11"/>
    <s v="E143"/>
    <x v="5"/>
    <x v="4"/>
    <s v="London, UK"/>
    <x v="0"/>
    <n v="158.72"/>
    <s v="Corporate Card"/>
    <s v="Supplier meeting"/>
    <x v="5"/>
    <s v="Paris, France"/>
    <n v="1"/>
    <n v="150"/>
    <n v="8.7200000000000006"/>
    <n v="0"/>
    <n v="0"/>
    <s v="Complete"/>
    <n v="0"/>
    <n v="0"/>
    <s v="Review"/>
    <x v="4"/>
  </r>
  <r>
    <s v="T00073"/>
    <d v="2025-03-24T00:00:00"/>
    <n v="2025"/>
    <n v="3"/>
    <s v="March"/>
    <x v="10"/>
    <s v="E121"/>
    <x v="11"/>
    <x v="1"/>
    <s v="Warsaw, Poland"/>
    <x v="6"/>
    <n v="375.89"/>
    <s v="Corporate Card"/>
    <s v="Conference attendance"/>
    <x v="1"/>
    <s v="Prague, Czech Republic"/>
    <n v="0"/>
    <n v="800"/>
    <n v="0"/>
    <n v="0"/>
    <n v="0"/>
    <s v="Complete"/>
    <n v="0"/>
    <n v="0"/>
    <s v="OK"/>
    <x v="0"/>
  </r>
  <r>
    <s v="T00299"/>
    <d v="2025-08-01T00:00:00"/>
    <n v="2025"/>
    <n v="8"/>
    <s v="August"/>
    <x v="5"/>
    <s v="E171"/>
    <x v="27"/>
    <x v="5"/>
    <s v="London, UK"/>
    <x v="6"/>
    <n v="477.37"/>
    <s v="Corporate Card"/>
    <s v="Customer visit"/>
    <x v="2"/>
    <s v="London, UK"/>
    <n v="0"/>
    <n v="800"/>
    <n v="0"/>
    <n v="0"/>
    <n v="0"/>
    <s v="Complete"/>
    <n v="0"/>
    <n v="0"/>
    <s v="OK"/>
    <x v="0"/>
  </r>
  <r>
    <s v="T00190"/>
    <d v="2025-04-28T00:00:00"/>
    <n v="2025"/>
    <n v="4"/>
    <s v="April"/>
    <x v="3"/>
    <s v="E157"/>
    <x v="2"/>
    <x v="1"/>
    <s v="Warsaw, Poland"/>
    <x v="3"/>
    <n v="49.98"/>
    <s v="Corporate Card"/>
    <s v="Conference attendance"/>
    <x v="1"/>
    <s v="Paris, France"/>
    <n v="0"/>
    <n v="75"/>
    <n v="0"/>
    <n v="0"/>
    <n v="0"/>
    <s v="Complete"/>
    <n v="0"/>
    <n v="0"/>
    <s v="OK"/>
    <x v="0"/>
  </r>
  <r>
    <s v="T00219"/>
    <d v="2025-04-30T00:00:00"/>
    <n v="2025"/>
    <n v="4"/>
    <s v="April"/>
    <x v="3"/>
    <s v="E157"/>
    <x v="2"/>
    <x v="1"/>
    <s v="Warsaw, Poland"/>
    <x v="5"/>
    <n v="52.78"/>
    <s v="Corporate Card"/>
    <s v="Partner meeting"/>
    <x v="5"/>
    <s v="Paris, France"/>
    <n v="1"/>
    <n v="50"/>
    <n v="2.78"/>
    <n v="0"/>
    <n v="0"/>
    <s v="Complete"/>
    <n v="0"/>
    <n v="0"/>
    <s v="Review"/>
    <x v="4"/>
  </r>
  <r>
    <s v="T00129"/>
    <d v="2025-04-04T00:00:00"/>
    <n v="2025"/>
    <n v="4"/>
    <s v="April"/>
    <x v="3"/>
    <s v="E139"/>
    <x v="40"/>
    <x v="1"/>
    <s v="Warsaw, Poland"/>
    <x v="6"/>
    <n v="439.43"/>
    <s v="Personal Card"/>
    <s v="Conference attendance"/>
    <x v="1"/>
    <s v="Gdansk, Poland"/>
    <n v="0"/>
    <n v="800"/>
    <n v="0"/>
    <n v="0"/>
    <n v="0"/>
    <s v="Complete"/>
    <n v="1"/>
    <n v="439.43"/>
    <s v="Review"/>
    <x v="2"/>
  </r>
  <r>
    <s v="T00112"/>
    <d v="2025-03-07T00:00:00"/>
    <n v="2025"/>
    <n v="3"/>
    <s v="March"/>
    <x v="10"/>
    <s v="E132"/>
    <x v="48"/>
    <x v="2"/>
    <s v="Warsaw, Poland"/>
    <x v="5"/>
    <n v="46.36"/>
    <s v="Corporate Card"/>
    <s v="Internal meeting"/>
    <x v="3"/>
    <s v="Wroclaw, Poland"/>
    <n v="0"/>
    <n v="50"/>
    <n v="0"/>
    <n v="0"/>
    <n v="0"/>
    <s v="Complete"/>
    <n v="0"/>
    <n v="0"/>
    <s v="OK"/>
    <x v="0"/>
  </r>
  <r>
    <s v="T00075"/>
    <d v="2025-02-27T00:00:00"/>
    <n v="2025"/>
    <n v="2"/>
    <s v="February"/>
    <x v="1"/>
    <s v="E121"/>
    <x v="11"/>
    <x v="1"/>
    <s v="Warsaw, Poland"/>
    <x v="5"/>
    <n v="35.909999999999997"/>
    <s v="Personal Card"/>
    <s v="Agency meeting"/>
    <x v="5"/>
    <s v="Berlin, Germany"/>
    <n v="0"/>
    <n v="50"/>
    <n v="0"/>
    <n v="0"/>
    <n v="0"/>
    <s v="Complete"/>
    <n v="1"/>
    <n v="35.909999999999997"/>
    <s v="Review"/>
    <x v="2"/>
  </r>
  <r>
    <s v="T00189"/>
    <d v="2025-02-26T00:00:00"/>
    <n v="2025"/>
    <n v="2"/>
    <s v="February"/>
    <x v="1"/>
    <s v="E157"/>
    <x v="2"/>
    <x v="1"/>
    <s v="Warsaw, Poland"/>
    <x v="2"/>
    <n v="19.47"/>
    <s v="Corporate Card"/>
    <s v="Early client workshop"/>
    <x v="2"/>
    <s v="Vienna, Austria"/>
    <n v="0"/>
    <n v="30"/>
    <n v="0"/>
    <n v="0"/>
    <n v="0"/>
    <s v="Complete"/>
    <n v="0"/>
    <n v="0"/>
    <s v="OK"/>
    <x v="0"/>
  </r>
  <r>
    <s v="T00117"/>
    <d v="2025-08-05T00:00:00"/>
    <n v="2025"/>
    <n v="8"/>
    <s v="August"/>
    <x v="5"/>
    <s v="E134"/>
    <x v="31"/>
    <x v="0"/>
    <s v="Berlin, Germany"/>
    <x v="3"/>
    <n v="48.02"/>
    <s v="Personal Card"/>
    <s v="Conference attendance"/>
    <x v="1"/>
    <s v="Hamburg, Germany"/>
    <n v="0"/>
    <n v="75"/>
    <n v="0"/>
    <n v="0"/>
    <n v="0"/>
    <s v="Complete"/>
    <n v="1"/>
    <n v="48.02"/>
    <s v="Review"/>
    <x v="2"/>
  </r>
  <r>
    <s v="T00049"/>
    <d v="2025-10-03T00:00:00"/>
    <n v="2025"/>
    <n v="10"/>
    <s v="October"/>
    <x v="0"/>
    <s v="E114"/>
    <x v="12"/>
    <x v="2"/>
    <s v="London, UK"/>
    <x v="3"/>
    <n v="24.53"/>
    <s v="Corporate Card"/>
    <s v="Travel between offices"/>
    <x v="0"/>
    <s v="Manchester, UK"/>
    <n v="0"/>
    <n v="75"/>
    <n v="0"/>
    <n v="0"/>
    <n v="0"/>
    <s v="Complete"/>
    <n v="0"/>
    <n v="0"/>
    <s v="OK"/>
    <x v="0"/>
  </r>
  <r>
    <s v="T00133"/>
    <d v="2025-09-23T00:00:00"/>
    <n v="2025"/>
    <n v="9"/>
    <s v="September"/>
    <x v="8"/>
    <s v="E140"/>
    <x v="16"/>
    <x v="0"/>
    <s v="London, UK"/>
    <x v="6"/>
    <n v="1013.23"/>
    <s v="Corporate Card"/>
    <s v="Customer visit"/>
    <x v="2"/>
    <s v="Dublin, Ireland"/>
    <n v="1"/>
    <n v="800"/>
    <n v="213.23"/>
    <n v="0"/>
    <n v="0"/>
    <s v="Complete"/>
    <n v="0"/>
    <n v="0"/>
    <s v="Review"/>
    <x v="4"/>
  </r>
  <r>
    <s v="T00086"/>
    <d v="2025-07-28T00:00:00"/>
    <n v="2025"/>
    <n v="7"/>
    <s v="July"/>
    <x v="2"/>
    <s v="E122"/>
    <x v="34"/>
    <x v="0"/>
    <s v="Warsaw, Poland"/>
    <x v="6"/>
    <n v="609.22"/>
    <s v="Corporate Card"/>
    <s v="Training"/>
    <x v="1"/>
    <s v="Krakow, Poland"/>
    <n v="0"/>
    <n v="800"/>
    <n v="0"/>
    <n v="0"/>
    <n v="0"/>
    <s v="Complete"/>
    <n v="0"/>
    <n v="0"/>
    <s v="OK"/>
    <x v="0"/>
  </r>
  <r>
    <s v="T00018"/>
    <d v="2025-11-10T00:00:00"/>
    <n v="2025"/>
    <n v="11"/>
    <s v="November"/>
    <x v="9"/>
    <s v="E108"/>
    <x v="22"/>
    <x v="2"/>
    <s v="Warsaw, Poland"/>
    <x v="2"/>
    <n v="12.86"/>
    <s v="Personal Card"/>
    <s v="Client meeting"/>
    <x v="2"/>
    <s v="Wroclaw, Poland"/>
    <n v="0"/>
    <n v="30"/>
    <n v="0"/>
    <n v="0"/>
    <n v="0"/>
    <s v="Complete"/>
    <n v="1"/>
    <n v="12.86"/>
    <s v="Review"/>
    <x v="2"/>
  </r>
  <r>
    <s v="T00180"/>
    <d v="2025-11-16T00:00:00"/>
    <n v="2025"/>
    <n v="11"/>
    <s v="November"/>
    <x v="9"/>
    <s v="E153"/>
    <x v="6"/>
    <x v="5"/>
    <s v="Warsaw, Poland"/>
    <x v="1"/>
    <n v="107.27"/>
    <s v="Corporate Card"/>
    <s v="Business trip"/>
    <x v="0"/>
    <s v="Vienna, Austria"/>
    <n v="0"/>
    <n v="300"/>
    <n v="0"/>
    <n v="0"/>
    <n v="0"/>
    <s v="Complete"/>
    <n v="0"/>
    <n v="0"/>
    <s v="OK"/>
    <x v="0"/>
  </r>
  <r>
    <s v="T00081"/>
    <d v="2025-03-13T00:00:00"/>
    <n v="2025"/>
    <n v="3"/>
    <s v="March"/>
    <x v="10"/>
    <s v="E121"/>
    <x v="11"/>
    <x v="1"/>
    <s v="Warsaw, Poland"/>
    <x v="0"/>
    <n v="128.97"/>
    <s v="Corporate Card"/>
    <s v="Supplier meeting"/>
    <x v="5"/>
    <s v="Berlin, Germany"/>
    <n v="0"/>
    <n v="150"/>
    <n v="0"/>
    <n v="0"/>
    <n v="0"/>
    <s v="Complete"/>
    <n v="0"/>
    <n v="0"/>
    <s v="OK"/>
    <x v="0"/>
  </r>
  <r>
    <s v="T00293"/>
    <d v="2025-03-10T00:00:00"/>
    <n v="2025"/>
    <n v="3"/>
    <s v="March"/>
    <x v="10"/>
    <s v="E170"/>
    <x v="9"/>
    <x v="0"/>
    <s v="Warsaw, Poland"/>
    <x v="4"/>
    <n v="81.290000000000006"/>
    <s v="Corporate Card"/>
    <s v="Team dinner"/>
    <x v="3"/>
    <s v="Vienna, Austria"/>
    <n v="1"/>
    <n v="75"/>
    <n v="6.29"/>
    <n v="0"/>
    <n v="0"/>
    <s v="Complete"/>
    <n v="0"/>
    <n v="0"/>
    <s v="Review"/>
    <x v="4"/>
  </r>
  <r>
    <s v="T00150"/>
    <d v="2025-03-21T00:00:00"/>
    <n v="2025"/>
    <n v="3"/>
    <s v="March"/>
    <x v="10"/>
    <s v="E142"/>
    <x v="17"/>
    <x v="3"/>
    <s v="Warsaw, Poland"/>
    <x v="1"/>
    <n v="237.56"/>
    <s v="Corporate Card"/>
    <s v="Sales visit"/>
    <x v="2"/>
    <s v="Paris, France"/>
    <n v="0"/>
    <n v="300"/>
    <n v="0"/>
    <n v="0"/>
    <n v="0"/>
    <s v="Complete"/>
    <n v="0"/>
    <n v="0"/>
    <s v="OK"/>
    <x v="0"/>
  </r>
  <r>
    <s v="T00197"/>
    <d v="2025-04-18T00:00:00"/>
    <n v="2025"/>
    <n v="4"/>
    <s v="April"/>
    <x v="3"/>
    <s v="E157"/>
    <x v="2"/>
    <x v="1"/>
    <s v="Warsaw, Poland"/>
    <x v="4"/>
    <n v="47.13"/>
    <s v="Corporate Card"/>
    <s v="Conference attendance"/>
    <x v="1"/>
    <s v="Krakow, Poland"/>
    <n v="0"/>
    <n v="75"/>
    <n v="0"/>
    <n v="0"/>
    <n v="0"/>
    <s v="Complete"/>
    <n v="0"/>
    <n v="0"/>
    <s v="OK"/>
    <x v="0"/>
  </r>
  <r>
    <s v="T00067"/>
    <d v="2025-05-23T00:00:00"/>
    <n v="2025"/>
    <n v="5"/>
    <s v="May"/>
    <x v="7"/>
    <s v="E117"/>
    <x v="43"/>
    <x v="5"/>
    <s v="Warsaw, Poland"/>
    <x v="3"/>
    <n v="86.38"/>
    <s v="Corporate Card"/>
    <s v="Travel between offices"/>
    <x v="0"/>
    <s v="Prague, Czech Republic"/>
    <n v="1"/>
    <n v="75"/>
    <n v="11.38"/>
    <n v="0"/>
    <n v="0"/>
    <s v="Complete"/>
    <n v="0"/>
    <n v="0"/>
    <s v="Review"/>
    <x v="4"/>
  </r>
  <r>
    <s v="T00166"/>
    <d v="2025-07-29T00:00:00"/>
    <n v="2025"/>
    <n v="7"/>
    <s v="July"/>
    <x v="2"/>
    <s v="E146"/>
    <x v="1"/>
    <x v="0"/>
    <s v="Warsaw, Poland"/>
    <x v="2"/>
    <n v="23.5"/>
    <s v="Corporate Card"/>
    <s v="Travel to customer site"/>
    <x v="0"/>
    <s v="Warsaw, Poland"/>
    <n v="0"/>
    <n v="30"/>
    <n v="0"/>
    <n v="0"/>
    <n v="0"/>
    <s v="Complete"/>
    <n v="0"/>
    <n v="0"/>
    <s v="OK"/>
    <x v="0"/>
  </r>
  <r>
    <s v="T00044"/>
    <d v="2025-11-27T00:00:00"/>
    <n v="2025"/>
    <n v="11"/>
    <s v="November"/>
    <x v="9"/>
    <s v="E114"/>
    <x v="12"/>
    <x v="2"/>
    <s v="London, UK"/>
    <x v="3"/>
    <n v="56.93"/>
    <s v="Corporate Card"/>
    <s v="Airport transfer"/>
    <x v="0"/>
    <s v="Manchester, UK"/>
    <n v="0"/>
    <n v="75"/>
    <n v="0"/>
    <n v="0"/>
    <n v="0"/>
    <s v="Complete"/>
    <n v="0"/>
    <n v="0"/>
    <s v="OK"/>
    <x v="0"/>
  </r>
  <r>
    <s v="T00251"/>
    <d v="2025-03-20T00:00:00"/>
    <n v="2025"/>
    <n v="3"/>
    <s v="March"/>
    <x v="10"/>
    <s v="E167"/>
    <x v="36"/>
    <x v="4"/>
    <s v="Warsaw, Poland"/>
    <x v="5"/>
    <n v="58.73"/>
    <s v="Personal Card"/>
    <s v="Prospect meeting"/>
    <x v="2"/>
    <s v="Wroclaw, Poland"/>
    <n v="1"/>
    <n v="50"/>
    <n v="8.73"/>
    <n v="0"/>
    <n v="0"/>
    <s v="Complete"/>
    <n v="1"/>
    <n v="58.73"/>
    <s v="Review"/>
    <x v="6"/>
  </r>
  <r>
    <s v="T00298"/>
    <d v="2025-11-17T00:00:00"/>
    <n v="2025"/>
    <n v="11"/>
    <s v="November"/>
    <x v="9"/>
    <s v="E170"/>
    <x v="9"/>
    <x v="0"/>
    <s v="Warsaw, Poland"/>
    <x v="4"/>
    <n v="58.49"/>
    <s v="Corporate Card"/>
    <s v="Audit meeting"/>
    <x v="4"/>
    <s v="Wroclaw, Poland"/>
    <n v="0"/>
    <n v="75"/>
    <n v="0"/>
    <n v="0"/>
    <n v="0"/>
    <s v="Complete"/>
    <n v="0"/>
    <n v="0"/>
    <s v="OK"/>
    <x v="0"/>
  </r>
  <r>
    <s v="T00149"/>
    <d v="2025-09-30T00:00:00"/>
    <n v="2025"/>
    <n v="9"/>
    <s v="September"/>
    <x v="8"/>
    <s v="E142"/>
    <x v="17"/>
    <x v="3"/>
    <s v="Warsaw, Poland"/>
    <x v="1"/>
    <n v="154.19999999999999"/>
    <s v="Corporate Card"/>
    <s v="Supplier visit"/>
    <x v="5"/>
    <s v="Berlin, Germany"/>
    <n v="0"/>
    <n v="300"/>
    <n v="0"/>
    <n v="0"/>
    <n v="0"/>
    <s v="Complete"/>
    <n v="0"/>
    <n v="0"/>
    <s v="OK"/>
    <x v="0"/>
  </r>
  <r>
    <s v="T00272"/>
    <d v="2025-11-26T00:00:00"/>
    <n v="2025"/>
    <n v="11"/>
    <s v="November"/>
    <x v="9"/>
    <s v="E169"/>
    <x v="15"/>
    <x v="1"/>
    <s v="London, UK"/>
    <x v="6"/>
    <n v="847.72"/>
    <s v="Corporate Card"/>
    <s v="Agency workshop"/>
    <x v="5"/>
    <s v="London, UK"/>
    <n v="1"/>
    <n v="800"/>
    <n v="47.72"/>
    <n v="0"/>
    <n v="0"/>
    <s v="Complete"/>
    <n v="0"/>
    <n v="0"/>
    <s v="Review"/>
    <x v="4"/>
  </r>
  <r>
    <s v="T00077"/>
    <d v="2025-06-30T00:00:00"/>
    <n v="2025"/>
    <n v="6"/>
    <s v="June"/>
    <x v="4"/>
    <s v="E121"/>
    <x v="11"/>
    <x v="1"/>
    <s v="Warsaw, Poland"/>
    <x v="5"/>
    <n v="31.2"/>
    <s v="Corporate Card"/>
    <s v="Customer workshop"/>
    <x v="2"/>
    <s v="London, UK"/>
    <n v="0"/>
    <n v="50"/>
    <n v="0"/>
    <n v="1"/>
    <n v="31.2"/>
    <s v="Missing Receipt"/>
    <n v="0"/>
    <n v="0"/>
    <s v="Review"/>
    <x v="1"/>
  </r>
  <r>
    <s v="T00239"/>
    <d v="2025-03-07T00:00:00"/>
    <n v="2025"/>
    <n v="3"/>
    <s v="March"/>
    <x v="10"/>
    <s v="E159"/>
    <x v="21"/>
    <x v="5"/>
    <s v="Warsaw, Poland"/>
    <x v="6"/>
    <n v="591.86"/>
    <s v="Corporate Card"/>
    <s v="HR conference"/>
    <x v="1"/>
    <s v="Gdansk, Poland"/>
    <n v="0"/>
    <n v="800"/>
    <n v="0"/>
    <n v="0"/>
    <n v="0"/>
    <s v="Complete"/>
    <n v="0"/>
    <n v="0"/>
    <s v="OK"/>
    <x v="0"/>
  </r>
  <r>
    <s v="T00268"/>
    <d v="2025-09-11T00:00:00"/>
    <n v="2025"/>
    <n v="9"/>
    <s v="September"/>
    <x v="8"/>
    <s v="E169"/>
    <x v="15"/>
    <x v="1"/>
    <s v="London, UK"/>
    <x v="1"/>
    <n v="137.69"/>
    <s v="Personal Card"/>
    <s v="Conference attendance"/>
    <x v="1"/>
    <s v="Paris, France"/>
    <n v="0"/>
    <n v="300"/>
    <n v="0"/>
    <n v="0"/>
    <n v="0"/>
    <s v="Complete"/>
    <n v="1"/>
    <n v="137.69"/>
    <s v="Review"/>
    <x v="2"/>
  </r>
  <r>
    <s v="T00108"/>
    <d v="2025-11-25T00:00:00"/>
    <n v="2025"/>
    <n v="11"/>
    <s v="November"/>
    <x v="9"/>
    <s v="E130"/>
    <x v="38"/>
    <x v="3"/>
    <s v="Warsaw, Poland"/>
    <x v="4"/>
    <n v="44.26"/>
    <s v="Corporate Card"/>
    <s v="Business trip"/>
    <x v="0"/>
    <s v="Krakow, Poland"/>
    <n v="0"/>
    <n v="75"/>
    <n v="0"/>
    <n v="0"/>
    <n v="0"/>
    <s v="Complete"/>
    <n v="0"/>
    <n v="0"/>
    <s v="OK"/>
    <x v="0"/>
  </r>
  <r>
    <s v="T00260"/>
    <d v="2025-02-14T00:00:00"/>
    <n v="2025"/>
    <n v="2"/>
    <s v="February"/>
    <x v="1"/>
    <s v="E168"/>
    <x v="3"/>
    <x v="2"/>
    <s v="Berlin, Germany"/>
    <x v="6"/>
    <n v="323.75"/>
    <s v="Corporate Card"/>
    <s v="Training"/>
    <x v="1"/>
    <s v="Vienna, Austria"/>
    <n v="0"/>
    <n v="800"/>
    <n v="0"/>
    <n v="1"/>
    <n v="323.75"/>
    <s v="Missing Receipt"/>
    <n v="0"/>
    <n v="0"/>
    <s v="Review"/>
    <x v="1"/>
  </r>
  <r>
    <s v="T00168"/>
    <d v="2025-10-24T00:00:00"/>
    <n v="2025"/>
    <n v="10"/>
    <s v="October"/>
    <x v="0"/>
    <s v="E146"/>
    <x v="1"/>
    <x v="0"/>
    <s v="Warsaw, Poland"/>
    <x v="5"/>
    <n v="41.17"/>
    <s v="Corporate Card"/>
    <s v="Customer workshop"/>
    <x v="2"/>
    <s v="Paris, France"/>
    <n v="0"/>
    <n v="50"/>
    <n v="0"/>
    <n v="0"/>
    <n v="0"/>
    <s v="Complete"/>
    <n v="0"/>
    <n v="0"/>
    <s v="OK"/>
    <x v="0"/>
  </r>
  <r>
    <s v="T00181"/>
    <d v="2025-04-10T00:00:00"/>
    <n v="2025"/>
    <n v="4"/>
    <s v="April"/>
    <x v="3"/>
    <s v="E153"/>
    <x v="6"/>
    <x v="5"/>
    <s v="Warsaw, Poland"/>
    <x v="1"/>
    <n v="359.96"/>
    <s v="Corporate Card"/>
    <s v="Training"/>
    <x v="1"/>
    <s v="Krakow, Poland"/>
    <n v="1"/>
    <n v="300"/>
    <n v="59.96"/>
    <n v="0"/>
    <n v="0"/>
    <s v="Complete"/>
    <n v="0"/>
    <n v="0"/>
    <s v="Review"/>
    <x v="4"/>
  </r>
  <r>
    <s v="T00277"/>
    <d v="2025-08-06T00:00:00"/>
    <n v="2025"/>
    <n v="8"/>
    <s v="August"/>
    <x v="5"/>
    <s v="E169"/>
    <x v="15"/>
    <x v="1"/>
    <s v="London, UK"/>
    <x v="0"/>
    <n v="136.01"/>
    <s v="Corporate Card"/>
    <s v="Customer visit"/>
    <x v="2"/>
    <s v="Berlin, Germany"/>
    <n v="0"/>
    <n v="150"/>
    <n v="0"/>
    <n v="0"/>
    <n v="0"/>
    <s v="Complete"/>
    <n v="0"/>
    <n v="0"/>
    <s v="OK"/>
    <x v="0"/>
  </r>
  <r>
    <s v="T00163"/>
    <d v="2025-11-03T00:00:00"/>
    <n v="2025"/>
    <n v="11"/>
    <s v="November"/>
    <x v="9"/>
    <s v="E144"/>
    <x v="41"/>
    <x v="2"/>
    <s v="Berlin, Germany"/>
    <x v="6"/>
    <n v="1136.96"/>
    <s v="Personal Card"/>
    <s v="Supplier meeting"/>
    <x v="5"/>
    <s v="Amsterdam, Netherlands"/>
    <n v="1"/>
    <n v="800"/>
    <n v="336.96"/>
    <n v="0"/>
    <n v="0"/>
    <s v="Complete"/>
    <n v="1"/>
    <n v="1136.96"/>
    <s v="Review"/>
    <x v="6"/>
  </r>
  <r>
    <s v="T00059"/>
    <d v="2025-10-28T00:00:00"/>
    <n v="2025"/>
    <n v="10"/>
    <s v="October"/>
    <x v="0"/>
    <s v="E115"/>
    <x v="29"/>
    <x v="1"/>
    <s v="Berlin, Germany"/>
    <x v="4"/>
    <n v="55.03"/>
    <s v="Corporate Card"/>
    <s v="Client dinner"/>
    <x v="2"/>
    <s v="Vienna, Austria"/>
    <n v="0"/>
    <n v="75"/>
    <n v="0"/>
    <n v="0"/>
    <n v="0"/>
    <s v="Complete"/>
    <n v="0"/>
    <n v="0"/>
    <s v="OK"/>
    <x v="0"/>
  </r>
  <r>
    <s v="T00106"/>
    <d v="2025-06-17T00:00:00"/>
    <n v="2025"/>
    <n v="6"/>
    <s v="June"/>
    <x v="4"/>
    <s v="E126"/>
    <x v="42"/>
    <x v="2"/>
    <s v="Berlin, Germany"/>
    <x v="6"/>
    <n v="903.69"/>
    <s v="Corporate Card"/>
    <s v="Training"/>
    <x v="1"/>
    <s v="Frankfurt, Germany"/>
    <n v="1"/>
    <n v="800"/>
    <n v="103.69"/>
    <n v="0"/>
    <n v="0"/>
    <s v="Complete"/>
    <n v="0"/>
    <n v="0"/>
    <s v="Review"/>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95CE66-62EF-448D-B821-D39C42C528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7:G25" firstHeaderRow="0" firstDataRow="1" firstDataCol="1"/>
  <pivotFields count="26">
    <pivotField dataField="1" showAll="0"/>
    <pivotField numFmtId="14" showAll="0"/>
    <pivotField showAll="0"/>
    <pivotField showAll="0"/>
    <pivotField showAll="0"/>
    <pivotField numFmtId="14" showAll="0"/>
    <pivotField showAll="0"/>
    <pivotField showAll="0"/>
    <pivotField showAll="0"/>
    <pivotField showAll="0"/>
    <pivotField axis="axisRow" showAll="0">
      <items count="8">
        <item x="6"/>
        <item x="2"/>
        <item x="4"/>
        <item x="1"/>
        <item x="5"/>
        <item x="3"/>
        <item x="0"/>
        <item t="default"/>
      </items>
    </pivotField>
    <pivotField dataField="1"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s>
  <rowFields count="1">
    <field x="10"/>
  </rowFields>
  <rowItems count="8">
    <i>
      <x/>
    </i>
    <i>
      <x v="1"/>
    </i>
    <i>
      <x v="2"/>
    </i>
    <i>
      <x v="3"/>
    </i>
    <i>
      <x v="4"/>
    </i>
    <i>
      <x v="5"/>
    </i>
    <i>
      <x v="6"/>
    </i>
    <i t="grand">
      <x/>
    </i>
  </rowItems>
  <colFields count="1">
    <field x="-2"/>
  </colFields>
  <colItems count="6">
    <i>
      <x/>
    </i>
    <i i="1">
      <x v="1"/>
    </i>
    <i i="2">
      <x v="2"/>
    </i>
    <i i="3">
      <x v="3"/>
    </i>
    <i i="4">
      <x v="4"/>
    </i>
    <i i="5">
      <x v="5"/>
    </i>
  </colItems>
  <dataFields count="6">
    <dataField name="Transactions" fld="0" subtotal="count" baseField="0" baseItem="0"/>
    <dataField name="Total Spend" fld="11" baseField="0" baseItem="0" numFmtId="164"/>
    <dataField name="Avg. Transaction" fld="11" subtotal="average" baseField="0" baseItem="0" numFmtId="164"/>
    <dataField name="Violations" fld="16" baseField="0" baseItem="0"/>
    <dataField name="Excess Spend" fld="18" baseField="0" baseItem="0" numFmtId="164"/>
    <dataField name="Violation Rate" fld="16" subtotal="average" baseField="0" baseItem="0" numFmtId="10"/>
  </dataFields>
  <formats count="4">
    <format dxfId="24">
      <pivotArea outline="0" collapsedLevelsAreSubtotals="1" fieldPosition="0">
        <references count="1">
          <reference field="4294967294" count="1" selected="0">
            <x v="1"/>
          </reference>
        </references>
      </pivotArea>
    </format>
    <format dxfId="23">
      <pivotArea outline="0" collapsedLevelsAreSubtotals="1" fieldPosition="0">
        <references count="1">
          <reference field="4294967294" count="1" selected="0">
            <x v="2"/>
          </reference>
        </references>
      </pivotArea>
    </format>
    <format dxfId="22">
      <pivotArea outline="0" collapsedLevelsAreSubtotals="1" fieldPosition="0">
        <references count="1">
          <reference field="4294967294" count="1" selected="0">
            <x v="4"/>
          </reference>
        </references>
      </pivotArea>
    </format>
    <format dxfId="21">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84C67E-BA1E-486E-BC5A-0D2FE7F51C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y">
  <location ref="A3:E11" firstHeaderRow="0" firstDataRow="1" firstDataCol="1"/>
  <pivotFields count="26">
    <pivotField dataField="1" showAll="0"/>
    <pivotField numFmtId="14" showAll="0"/>
    <pivotField showAll="0"/>
    <pivotField showAll="0"/>
    <pivotField showAll="0"/>
    <pivotField numFmtId="14" showAll="0"/>
    <pivotField showAll="0"/>
    <pivotField showAll="0"/>
    <pivotField showAll="0"/>
    <pivotField showAll="0"/>
    <pivotField axis="axisRow" showAll="0" sortType="descending">
      <items count="8">
        <item x="6"/>
        <item x="2"/>
        <item x="4"/>
        <item x="1"/>
        <item x="5"/>
        <item x="3"/>
        <item x="0"/>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8">
    <i>
      <x/>
    </i>
    <i>
      <x v="3"/>
    </i>
    <i>
      <x v="2"/>
    </i>
    <i>
      <x v="6"/>
    </i>
    <i>
      <x v="4"/>
    </i>
    <i>
      <x v="5"/>
    </i>
    <i>
      <x v="1"/>
    </i>
    <i t="grand">
      <x/>
    </i>
  </rowItems>
  <colFields count="1">
    <field x="-2"/>
  </colFields>
  <colItems count="4">
    <i>
      <x/>
    </i>
    <i i="1">
      <x v="1"/>
    </i>
    <i i="2">
      <x v="2"/>
    </i>
    <i i="3">
      <x v="3"/>
    </i>
  </colItems>
  <dataFields count="4">
    <dataField name="Transactions" fld="0" subtotal="count" baseField="0" baseItem="0"/>
    <dataField name="Total Spend" fld="11" baseField="0" baseItem="0" numFmtId="164"/>
    <dataField name="Avg. Transaction Spend" fld="11" subtotal="average" baseField="0" baseItem="0" numFmtId="164"/>
    <dataField name="Spend Share" fld="11" showDataAs="percentOfTotal" baseField="10" baseItem="0" numFmtId="10"/>
  </dataFields>
  <formats count="2">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2"/>
          </reference>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224037-490D-4C86-8B61-E51176D6F0B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G3:H11" firstHeaderRow="1" firstDataRow="1" firstDataCol="1"/>
  <pivotFields count="26">
    <pivotField showAll="0"/>
    <pivotField numFmtId="14" showAll="0"/>
    <pivotField showAll="0"/>
    <pivotField showAll="0"/>
    <pivotField showAll="0"/>
    <pivotField numFmtId="14" showAll="0"/>
    <pivotField showAll="0"/>
    <pivotField showAll="0"/>
    <pivotField showAll="0"/>
    <pivotField showAll="0"/>
    <pivotField axis="axisRow" showAll="0" sortType="descending">
      <items count="8">
        <item x="6"/>
        <item x="2"/>
        <item x="4"/>
        <item x="1"/>
        <item x="5"/>
        <item x="3"/>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8">
    <i>
      <x/>
    </i>
    <i>
      <x v="3"/>
    </i>
    <i>
      <x v="2"/>
    </i>
    <i>
      <x v="6"/>
    </i>
    <i>
      <x v="4"/>
    </i>
    <i>
      <x v="5"/>
    </i>
    <i>
      <x v="1"/>
    </i>
    <i t="grand">
      <x/>
    </i>
  </rowItems>
  <colItems count="1">
    <i/>
  </colItems>
  <dataFields count="1">
    <dataField name="Total Spend" fld="11" baseField="0" baseItem="0" numFmtId="165"/>
  </dataFields>
  <formats count="2">
    <format dxfId="11">
      <pivotArea outline="0" collapsedLevelsAreSubtotals="1" fieldPosition="0">
        <references count="1">
          <reference field="4294967294" count="1" selected="0">
            <x v="0"/>
          </reference>
        </references>
      </pivotArea>
    </format>
    <format dxfId="10">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00780B-D05A-4F77-8B44-B19843C5377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Year-Month">
  <location ref="G37:H50" firstHeaderRow="1" firstDataRow="1" firstDataCol="1"/>
  <pivotFields count="26">
    <pivotField showAll="0"/>
    <pivotField numFmtId="14" showAll="0"/>
    <pivotField showAll="0"/>
    <pivotField showAll="0"/>
    <pivotField showAll="0"/>
    <pivotField axis="axisRow" numFmtId="14" showAll="0" sortType="ascending">
      <items count="25">
        <item x="11"/>
        <item x="1"/>
        <item x="10"/>
        <item x="3"/>
        <item x="7"/>
        <item x="4"/>
        <item x="2"/>
        <item x="5"/>
        <item x="8"/>
        <item x="0"/>
        <item x="9"/>
        <item x="6"/>
        <item m="1" x="23"/>
        <item m="1" x="13"/>
        <item m="1" x="22"/>
        <item m="1" x="15"/>
        <item m="1" x="19"/>
        <item m="1" x="16"/>
        <item m="1" x="14"/>
        <item m="1" x="17"/>
        <item m="1" x="20"/>
        <item m="1" x="12"/>
        <item m="1" x="21"/>
        <item m="1" x="18"/>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Total Spend" fld="11" baseField="0" baseItem="0" numFmtId="165"/>
  </dataFields>
  <formats count="2">
    <format dxfId="13">
      <pivotArea outline="0" collapsedLevelsAreSubtotals="1" fieldPosition="0">
        <references count="1">
          <reference field="4294967294" count="1" selected="0">
            <x v="0"/>
          </reference>
        </references>
      </pivotArea>
    </format>
    <format dxfId="12">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EB74A7-F5DC-4022-962B-052A9BEF06E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Month">
  <location ref="A37:E50" firstHeaderRow="0" firstDataRow="1" firstDataCol="1"/>
  <pivotFields count="26">
    <pivotField dataField="1" showAll="0"/>
    <pivotField numFmtId="14" showAll="0"/>
    <pivotField showAll="0"/>
    <pivotField showAll="0"/>
    <pivotField showAll="0"/>
    <pivotField axis="axisRow" numFmtId="14" showAll="0" sortType="ascending">
      <items count="25">
        <item x="11"/>
        <item x="1"/>
        <item x="10"/>
        <item x="3"/>
        <item x="7"/>
        <item x="4"/>
        <item x="2"/>
        <item x="5"/>
        <item x="8"/>
        <item x="0"/>
        <item x="9"/>
        <item x="6"/>
        <item m="1" x="23"/>
        <item m="1" x="13"/>
        <item m="1" x="22"/>
        <item m="1" x="15"/>
        <item m="1" x="19"/>
        <item m="1" x="16"/>
        <item m="1" x="14"/>
        <item m="1" x="17"/>
        <item m="1" x="20"/>
        <item m="1" x="12"/>
        <item m="1" x="21"/>
        <item m="1" x="18"/>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Transactions" fld="0" subtotal="count" baseField="0" baseItem="0"/>
    <dataField name="Total Spend" fld="11" baseField="0" baseItem="0" numFmtId="164"/>
    <dataField name="Avg. Transaction Spend" fld="11" subtotal="average" baseField="0" baseItem="0" numFmtId="164"/>
    <dataField name="Spend Share" fld="11" showDataAs="percentOfTotal" baseField="0" baseItem="0" numFmtId="10"/>
  </dataFields>
  <formats count="3">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2"/>
          </reference>
        </references>
      </pivotArea>
    </format>
    <format dxfId="14">
      <pivotArea dataOnly="0" labelOnly="1" fieldPosition="0">
        <references count="1">
          <reference field="5" count="0"/>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92EC75-7A74-4F2C-BA64-A702F030E6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usiness Purpose Group">
  <location ref="A15:E22" firstHeaderRow="0" firstDataRow="1" firstDataCol="1"/>
  <pivotFields count="26">
    <pivotField dataField="1" showAll="0"/>
    <pivotField numFmtId="14" showAll="0"/>
    <pivotField showAll="0"/>
    <pivotField showAll="0"/>
    <pivotField showAll="0"/>
    <pivotField numFmtId="14" showAll="0"/>
    <pivotField showAll="0"/>
    <pivotField showAll="0"/>
    <pivotField showAll="0"/>
    <pivotField showAll="0"/>
    <pivotField showAll="0"/>
    <pivotField dataField="1" showAll="0"/>
    <pivotField showAll="0"/>
    <pivotField showAll="0"/>
    <pivotField axis="axisRow" showAll="0" sortType="descending">
      <items count="7">
        <item x="0"/>
        <item x="1"/>
        <item x="4"/>
        <item x="3"/>
        <item x="5"/>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7">
    <i>
      <x v="1"/>
    </i>
    <i>
      <x v="5"/>
    </i>
    <i>
      <x v="4"/>
    </i>
    <i>
      <x/>
    </i>
    <i>
      <x v="2"/>
    </i>
    <i>
      <x v="3"/>
    </i>
    <i t="grand">
      <x/>
    </i>
  </rowItems>
  <colFields count="1">
    <field x="-2"/>
  </colFields>
  <colItems count="4">
    <i>
      <x/>
    </i>
    <i i="1">
      <x v="1"/>
    </i>
    <i i="2">
      <x v="2"/>
    </i>
    <i i="3">
      <x v="3"/>
    </i>
  </colItems>
  <dataFields count="4">
    <dataField name="Transactions" fld="0" subtotal="count" baseField="14" baseItem="4"/>
    <dataField name="Total Spend" fld="11" baseField="0" baseItem="0" numFmtId="164"/>
    <dataField name="Avg. Transaction Spend" fld="11" subtotal="average" baseField="0" baseItem="0" numFmtId="164"/>
    <dataField name="Spend Share" fld="11" showDataAs="percentOfTotal" baseField="0" baseItem="0" numFmtId="10"/>
  </dataFields>
  <formats count="2">
    <format dxfId="18">
      <pivotArea outline="0" collapsedLevelsAreSubtotals="1" fieldPosition="0">
        <references count="1">
          <reference field="4294967294" count="1" selected="0">
            <x v="1"/>
          </reference>
        </references>
      </pivotArea>
    </format>
    <format dxfId="17">
      <pivotArea outline="0" collapsedLevelsAreSubtotals="1" fieldPosition="0">
        <references count="1">
          <reference field="4294967294" count="1" selected="0">
            <x v="2"/>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6DEB67-D445-46DA-8F18-7B11B426F3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s">
  <location ref="A26:E33" firstHeaderRow="0" firstDataRow="1" firstDataCol="1"/>
  <pivotFields count="26">
    <pivotField dataField="1" showAll="0"/>
    <pivotField numFmtId="14" showAll="0"/>
    <pivotField showAll="0"/>
    <pivotField showAll="0"/>
    <pivotField showAll="0"/>
    <pivotField numFmtId="14" showAll="0"/>
    <pivotField showAll="0"/>
    <pivotField showAll="0"/>
    <pivotField axis="axisRow" showAll="0" sortType="descending">
      <items count="7">
        <item x="2"/>
        <item x="0"/>
        <item x="5"/>
        <item x="1"/>
        <item x="3"/>
        <item x="4"/>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7">
    <i>
      <x v="3"/>
    </i>
    <i>
      <x v="2"/>
    </i>
    <i>
      <x v="1"/>
    </i>
    <i>
      <x/>
    </i>
    <i>
      <x v="5"/>
    </i>
    <i>
      <x v="4"/>
    </i>
    <i t="grand">
      <x/>
    </i>
  </rowItems>
  <colFields count="1">
    <field x="-2"/>
  </colFields>
  <colItems count="4">
    <i>
      <x/>
    </i>
    <i i="1">
      <x v="1"/>
    </i>
    <i i="2">
      <x v="2"/>
    </i>
    <i i="3">
      <x v="3"/>
    </i>
  </colItems>
  <dataFields count="4">
    <dataField name="Transactions" fld="0" subtotal="count" baseField="0" baseItem="0"/>
    <dataField name="Total Spend" fld="11" baseField="0" baseItem="0" numFmtId="164"/>
    <dataField name="Avg. Transaction Spend" fld="11" subtotal="average" baseField="0" baseItem="0" numFmtId="164"/>
    <dataField name="Spend Share" fld="11" showDataAs="percentOfTotal" baseField="0" baseItem="0" numFmtId="10"/>
  </dataFields>
  <formats count="2">
    <format dxfId="20">
      <pivotArea outline="0" collapsedLevelsAreSubtotals="1" fieldPosition="0">
        <references count="1">
          <reference field="4294967294" count="1" selected="0">
            <x v="1"/>
          </reference>
        </references>
      </pivotArea>
    </format>
    <format dxfId="19">
      <pivotArea outline="0" collapsedLevelsAreSubtotals="1" fieldPosition="0">
        <references count="1">
          <reference field="4294967294" count="1" selected="0">
            <x v="2"/>
          </reference>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5B9DA5-C4B1-4A71-BDC9-CACCFD7B8F4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Month">
  <location ref="A59:H72" firstHeaderRow="0" firstDataRow="1" firstDataCol="1"/>
  <pivotFields count="26">
    <pivotField dataField="1" showAll="0"/>
    <pivotField numFmtId="14" showAll="0"/>
    <pivotField showAll="0"/>
    <pivotField showAll="0"/>
    <pivotField showAll="0"/>
    <pivotField axis="axisRow" showAll="0">
      <items count="25">
        <item x="11"/>
        <item x="1"/>
        <item x="10"/>
        <item x="3"/>
        <item x="7"/>
        <item x="4"/>
        <item x="2"/>
        <item x="5"/>
        <item x="8"/>
        <item x="0"/>
        <item x="9"/>
        <item x="6"/>
        <item m="1" x="23"/>
        <item m="1" x="13"/>
        <item m="1" x="22"/>
        <item m="1" x="15"/>
        <item m="1" x="19"/>
        <item m="1" x="16"/>
        <item m="1" x="14"/>
        <item m="1" x="17"/>
        <item m="1" x="20"/>
        <item m="1" x="12"/>
        <item m="1" x="21"/>
        <item m="1" x="1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s>
  <rowFields count="1">
    <field x="5"/>
  </rowFields>
  <rowItems count="13">
    <i>
      <x/>
    </i>
    <i>
      <x v="1"/>
    </i>
    <i>
      <x v="2"/>
    </i>
    <i>
      <x v="3"/>
    </i>
    <i>
      <x v="4"/>
    </i>
    <i>
      <x v="5"/>
    </i>
    <i>
      <x v="6"/>
    </i>
    <i>
      <x v="7"/>
    </i>
    <i>
      <x v="8"/>
    </i>
    <i>
      <x v="9"/>
    </i>
    <i>
      <x v="10"/>
    </i>
    <i>
      <x v="11"/>
    </i>
    <i t="grand">
      <x/>
    </i>
  </rowItems>
  <colFields count="1">
    <field x="-2"/>
  </colFields>
  <colItems count="7">
    <i>
      <x/>
    </i>
    <i i="1">
      <x v="1"/>
    </i>
    <i i="2">
      <x v="2"/>
    </i>
    <i i="3">
      <x v="3"/>
    </i>
    <i i="4">
      <x v="4"/>
    </i>
    <i i="5">
      <x v="5"/>
    </i>
    <i i="6">
      <x v="6"/>
    </i>
  </colItems>
  <dataFields count="7">
    <dataField name="Transactions" fld="0" subtotal="count" baseField="0" baseItem="0"/>
    <dataField name="Policy Violations" fld="16" baseField="0" baseItem="0"/>
    <dataField name="Violation Rate" fld="16" subtotal="average" baseField="0" baseItem="0" numFmtId="10"/>
    <dataField name="Missing Receipts " fld="19" baseField="5" baseItem="0"/>
    <dataField name="Missing Receipt Rate" fld="19" subtotal="average" baseField="0" baseItem="0" numFmtId="10"/>
    <dataField name="Personal Card Transactions" fld="22" baseField="0" baseItem="0"/>
    <dataField name="Personal Card Rate" fld="22" subtotal="average" baseField="0" baseItem="0" numFmtId="10"/>
  </dataFields>
  <formats count="3">
    <format dxfId="43">
      <pivotArea outline="0" collapsedLevelsAreSubtotals="1" fieldPosition="0">
        <references count="1">
          <reference field="4294967294" count="1" selected="0">
            <x v="6"/>
          </reference>
        </references>
      </pivotArea>
    </format>
    <format dxfId="42">
      <pivotArea outline="0" collapsedLevelsAreSubtotals="1" fieldPosition="0">
        <references count="1">
          <reference field="4294967294" count="1" selected="0">
            <x v="4"/>
          </reference>
        </references>
      </pivotArea>
    </format>
    <format dxfId="41">
      <pivotArea outline="0" collapsedLevelsAreSubtotals="1" fieldPosition="0">
        <references count="1">
          <reference field="4294967294" count="1" selected="0">
            <x v="2"/>
          </reference>
        </references>
      </pivotArea>
    </format>
  </formats>
  <pivotTableStyleInfo name="PivotStyleLight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CA455F-0005-43EE-B871-2C845CCF87D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
  <location ref="A3:F10" firstHeaderRow="0" firstDataRow="1" firstDataCol="1"/>
  <pivotFields count="26">
    <pivotField dataField="1" showAll="0"/>
    <pivotField numFmtId="14" showAll="0"/>
    <pivotField showAll="0"/>
    <pivotField showAll="0"/>
    <pivotField showAll="0"/>
    <pivotField showAll="0"/>
    <pivotField showAll="0"/>
    <pivotField showAll="0"/>
    <pivotField axis="axisRow" showAll="0" sortType="descending">
      <items count="7">
        <item x="2"/>
        <item x="0"/>
        <item x="5"/>
        <item x="1"/>
        <item x="3"/>
        <item x="4"/>
        <item t="default"/>
      </items>
      <autoSortScope>
        <pivotArea dataOnly="0" outline="0" fieldPosition="0">
          <references count="1">
            <reference field="4294967294" count="1" selected="0">
              <x v="3"/>
            </reference>
          </references>
        </pivotArea>
      </autoSortScope>
    </pivotField>
    <pivotField showAll="0"/>
    <pivotField showAll="0"/>
    <pivotField dataField="1"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s>
  <rowFields count="1">
    <field x="8"/>
  </rowFields>
  <rowItems count="7">
    <i>
      <x v="2"/>
    </i>
    <i>
      <x v="5"/>
    </i>
    <i>
      <x v="1"/>
    </i>
    <i>
      <x/>
    </i>
    <i>
      <x v="3"/>
    </i>
    <i>
      <x v="4"/>
    </i>
    <i t="grand">
      <x/>
    </i>
  </rowItems>
  <colFields count="1">
    <field x="-2"/>
  </colFields>
  <colItems count="5">
    <i>
      <x/>
    </i>
    <i i="1">
      <x v="1"/>
    </i>
    <i i="2">
      <x v="2"/>
    </i>
    <i i="3">
      <x v="3"/>
    </i>
    <i i="4">
      <x v="4"/>
    </i>
  </colItems>
  <dataFields count="5">
    <dataField name="Transactions" fld="0" subtotal="count" baseField="0" baseItem="0"/>
    <dataField name="Total Spend" fld="11" baseField="0" baseItem="0" numFmtId="164"/>
    <dataField name="Violations " fld="16" baseField="0" baseItem="0"/>
    <dataField name="Violation Rate " fld="16" subtotal="average" baseField="0" baseItem="0" numFmtId="10"/>
    <dataField name="Excess Spend" fld="18" baseField="0" baseItem="0" numFmtId="164"/>
  </dataFields>
  <formats count="3">
    <format dxfId="46">
      <pivotArea outline="0" collapsedLevelsAreSubtotals="1" fieldPosition="0">
        <references count="1">
          <reference field="4294967294" count="1" selected="0">
            <x v="3"/>
          </reference>
        </references>
      </pivotArea>
    </format>
    <format dxfId="45">
      <pivotArea outline="0" collapsedLevelsAreSubtotals="1" fieldPosition="0">
        <references count="1">
          <reference field="4294967294" count="1" selected="0">
            <x v="4"/>
          </reference>
        </references>
      </pivotArea>
    </format>
    <format dxfId="44">
      <pivotArea outline="0" collapsedLevelsAreSubtotals="1" fieldPosition="0">
        <references count="1">
          <reference field="4294967294" count="1" selected="0">
            <x v="1"/>
          </reference>
        </references>
      </pivotArea>
    </format>
  </formats>
  <pivotTableStyleInfo name="PivotStyleLight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D86F31-65A4-461F-90F6-2971C1E9E5D0}"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
  <location ref="F76:G85" firstHeaderRow="1" firstDataRow="1" firstDataCol="1"/>
  <pivotFields count="26">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9">
        <item x="1"/>
        <item x="3"/>
        <item x="0"/>
        <item x="2"/>
        <item x="4"/>
        <item x="7"/>
        <item x="5"/>
        <item x="6"/>
        <item t="default"/>
      </items>
      <autoSortScope>
        <pivotArea dataOnly="0" outline="0" fieldPosition="0">
          <references count="1">
            <reference field="4294967294" count="1" selected="0">
              <x v="0"/>
            </reference>
          </references>
        </pivotArea>
      </autoSortScope>
    </pivotField>
  </pivotFields>
  <rowFields count="1">
    <field x="25"/>
  </rowFields>
  <rowItems count="9">
    <i>
      <x v="2"/>
    </i>
    <i>
      <x v="4"/>
    </i>
    <i>
      <x v="3"/>
    </i>
    <i>
      <x/>
    </i>
    <i>
      <x v="7"/>
    </i>
    <i>
      <x v="5"/>
    </i>
    <i>
      <x v="1"/>
    </i>
    <i>
      <x v="6"/>
    </i>
    <i t="grand">
      <x/>
    </i>
  </rowItems>
  <colItems count="1">
    <i/>
  </colItems>
  <dataFields count="1">
    <dataField name="Transaction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B42619-DC9A-4377-84C5-3C0F8105A4E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
  <location ref="A48:F55" firstHeaderRow="0" firstDataRow="1" firstDataCol="1"/>
  <pivotFields count="26">
    <pivotField dataField="1" showAll="0"/>
    <pivotField numFmtId="14" showAll="0"/>
    <pivotField showAll="0"/>
    <pivotField showAll="0"/>
    <pivotField showAll="0"/>
    <pivotField showAll="0"/>
    <pivotField showAll="0"/>
    <pivotField showAll="0"/>
    <pivotField axis="axisRow" showAll="0" sortType="descending">
      <items count="7">
        <item x="2"/>
        <item x="0"/>
        <item x="5"/>
        <item x="1"/>
        <item x="3"/>
        <item x="4"/>
        <item t="default"/>
      </items>
      <autoSortScope>
        <pivotArea dataOnly="0" outline="0" fieldPosition="0">
          <references count="1">
            <reference field="4294967294" count="1" selected="0">
              <x v="4"/>
            </reference>
          </references>
        </pivotArea>
      </autoSortScope>
    </pivotField>
    <pivotField showAll="0"/>
    <pivotField showAll="0"/>
    <pivotField dataField="1"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s>
  <rowFields count="1">
    <field x="8"/>
  </rowFields>
  <rowItems count="7">
    <i>
      <x v="2"/>
    </i>
    <i>
      <x v="3"/>
    </i>
    <i>
      <x/>
    </i>
    <i>
      <x v="1"/>
    </i>
    <i>
      <x v="5"/>
    </i>
    <i>
      <x v="4"/>
    </i>
    <i t="grand">
      <x/>
    </i>
  </rowItems>
  <colFields count="1">
    <field x="-2"/>
  </colFields>
  <colItems count="5">
    <i>
      <x/>
    </i>
    <i i="1">
      <x v="1"/>
    </i>
    <i i="2">
      <x v="2"/>
    </i>
    <i i="3">
      <x v="3"/>
    </i>
    <i i="4">
      <x v="4"/>
    </i>
  </colItems>
  <dataFields count="5">
    <dataField name="Transactions" fld="0" subtotal="count" baseField="0" baseItem="0"/>
    <dataField name="Total Spend" fld="11" baseField="0" baseItem="0" numFmtId="164"/>
    <dataField name="Missing Receipt Spend " fld="20" baseField="0" baseItem="0" numFmtId="164"/>
    <dataField name="Missing Receipts" fld="19" baseField="0" baseItem="0"/>
    <dataField name="Missing Receipt Rate" fld="19" subtotal="average" baseField="0" baseItem="0" numFmtId="10"/>
  </dataFields>
  <formats count="5">
    <format dxfId="51">
      <pivotArea outline="0" collapsedLevelsAreSubtotals="1" fieldPosition="0">
        <references count="1">
          <reference field="4294967294" count="1" selected="0">
            <x v="1"/>
          </reference>
        </references>
      </pivotArea>
    </format>
    <format dxfId="50">
      <pivotArea outline="0" collapsedLevelsAreSubtotals="1" fieldPosition="0">
        <references count="1">
          <reference field="4294967294" count="1" selected="0">
            <x v="2"/>
          </reference>
        </references>
      </pivotArea>
    </format>
    <format dxfId="49">
      <pivotArea dataOnly="0" labelOnly="1" outline="0" fieldPosition="0">
        <references count="1">
          <reference field="4294967294" count="1">
            <x v="2"/>
          </reference>
        </references>
      </pivotArea>
    </format>
    <format dxfId="48">
      <pivotArea outline="0" fieldPosition="0">
        <references count="1">
          <reference field="4294967294" count="1">
            <x v="4"/>
          </reference>
        </references>
      </pivotArea>
    </format>
    <format dxfId="47">
      <pivotArea outline="0" collapsedLevelsAreSubtotals="1" fieldPosition="0">
        <references count="1">
          <reference field="4294967294" count="1" selected="0">
            <x v="4"/>
          </reference>
        </references>
      </pivotArea>
    </format>
  </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512D0B-A587-4F9C-9959-BB4E074F734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Month">
  <location ref="J59:M72" firstHeaderRow="0" firstDataRow="1" firstDataCol="1"/>
  <pivotFields count="26">
    <pivotField showAll="0"/>
    <pivotField numFmtId="14" showAll="0"/>
    <pivotField showAll="0"/>
    <pivotField showAll="0"/>
    <pivotField showAll="0"/>
    <pivotField axis="axisRow" showAll="0">
      <items count="25">
        <item x="11"/>
        <item x="1"/>
        <item x="10"/>
        <item x="3"/>
        <item x="7"/>
        <item x="4"/>
        <item x="2"/>
        <item x="5"/>
        <item x="8"/>
        <item x="0"/>
        <item x="9"/>
        <item x="6"/>
        <item m="1" x="23"/>
        <item m="1" x="13"/>
        <item m="1" x="22"/>
        <item m="1" x="15"/>
        <item m="1" x="19"/>
        <item m="1" x="16"/>
        <item m="1" x="14"/>
        <item m="1" x="17"/>
        <item m="1" x="20"/>
        <item m="1" x="12"/>
        <item m="1" x="21"/>
        <item m="1" x="1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s>
  <rowFields count="1">
    <field x="5"/>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Violation Rate" fld="16" subtotal="average" baseField="0" baseItem="0" numFmtId="10"/>
    <dataField name="Missing Receipt Rate" fld="19" subtotal="average" baseField="0" baseItem="0" numFmtId="10"/>
    <dataField name="Personal Card Rate" fld="22" subtotal="average" baseField="0" baseItem="0" numFmtId="10"/>
  </dataFields>
  <formats count="3">
    <format dxfId="54">
      <pivotArea outline="0" collapsedLevelsAreSubtotals="1" fieldPosition="0">
        <references count="1">
          <reference field="4294967294" count="1" selected="0">
            <x v="2"/>
          </reference>
        </references>
      </pivotArea>
    </format>
    <format dxfId="53">
      <pivotArea outline="0" collapsedLevelsAreSubtotals="1" fieldPosition="0">
        <references count="1">
          <reference field="4294967294" count="1" selected="0">
            <x v="1"/>
          </reference>
        </references>
      </pivotArea>
    </format>
    <format dxfId="52">
      <pivotArea outline="0" collapsedLevelsAreSubtotals="1" fieldPosition="0">
        <references count="1">
          <reference field="4294967294" count="1" selected="0">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5A4786F-4ABC-42F0-A480-837285AA328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
  <location ref="A37:F44" firstHeaderRow="0" firstDataRow="1" firstDataCol="1"/>
  <pivotFields count="26">
    <pivotField dataField="1" showAll="0"/>
    <pivotField numFmtId="14" showAll="0"/>
    <pivotField showAll="0"/>
    <pivotField showAll="0"/>
    <pivotField showAll="0"/>
    <pivotField showAll="0"/>
    <pivotField showAll="0"/>
    <pivotField showAll="0"/>
    <pivotField axis="axisRow" showAll="0" sortType="descending">
      <items count="7">
        <item x="2"/>
        <item x="0"/>
        <item x="5"/>
        <item x="1"/>
        <item x="3"/>
        <item x="4"/>
        <item t="default"/>
      </items>
      <autoSortScope>
        <pivotArea dataOnly="0" outline="0" fieldPosition="0">
          <references count="1">
            <reference field="4294967294" count="1" selected="0">
              <x v="4"/>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s>
  <rowFields count="1">
    <field x="8"/>
  </rowFields>
  <rowItems count="7">
    <i>
      <x v="5"/>
    </i>
    <i>
      <x/>
    </i>
    <i>
      <x v="1"/>
    </i>
    <i>
      <x v="2"/>
    </i>
    <i>
      <x v="3"/>
    </i>
    <i>
      <x v="4"/>
    </i>
    <i t="grand">
      <x/>
    </i>
  </rowItems>
  <colFields count="1">
    <field x="-2"/>
  </colFields>
  <colItems count="5">
    <i>
      <x/>
    </i>
    <i i="1">
      <x v="1"/>
    </i>
    <i i="2">
      <x v="2"/>
    </i>
    <i i="3">
      <x v="3"/>
    </i>
    <i i="4">
      <x v="4"/>
    </i>
  </colItems>
  <dataFields count="5">
    <dataField name="Transactions" fld="0" subtotal="count" baseField="0" baseItem="0"/>
    <dataField name="Total Spend" fld="11" baseField="0" baseItem="0" numFmtId="164"/>
    <dataField name="Personal Card Spend " fld="23" baseField="0" baseItem="0" numFmtId="164"/>
    <dataField name="Personal Card Transactions" fld="22" baseField="0" baseItem="0"/>
    <dataField name="Personal Card Rate" fld="22" subtotal="average" baseField="0" baseItem="0" numFmtId="10"/>
  </dataFields>
  <formats count="4">
    <format dxfId="58">
      <pivotArea outline="0" collapsedLevelsAreSubtotals="1" fieldPosition="0">
        <references count="1">
          <reference field="4294967294" count="1" selected="0">
            <x v="1"/>
          </reference>
        </references>
      </pivotArea>
    </format>
    <format dxfId="57">
      <pivotArea outline="0" collapsedLevelsAreSubtotals="1" fieldPosition="0">
        <references count="1">
          <reference field="4294967294" count="1" selected="0">
            <x v="2"/>
          </reference>
        </references>
      </pivotArea>
    </format>
    <format dxfId="56">
      <pivotArea outline="0" fieldPosition="0">
        <references count="1">
          <reference field="4294967294" count="1">
            <x v="4"/>
          </reference>
        </references>
      </pivotArea>
    </format>
    <format dxfId="55">
      <pivotArea outline="0" collapsedLevelsAreSubtotals="1" fieldPosition="0">
        <references count="1">
          <reference field="4294967294" count="1" selected="0">
            <x v="4"/>
          </reference>
        </references>
      </pivotArea>
    </format>
  </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EAE7198-AAA5-408F-A60A-8232115728D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4:F22" firstHeaderRow="0" firstDataRow="1" firstDataCol="1"/>
  <pivotFields count="26">
    <pivotField dataField="1" showAll="0"/>
    <pivotField numFmtId="14"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3"/>
            </reference>
          </references>
        </pivotArea>
      </autoSortScope>
    </pivotField>
    <pivotField showAll="0"/>
    <pivotField axis="axisRow" showAll="0" sortType="descending">
      <items count="8">
        <item x="6"/>
        <item x="2"/>
        <item x="4"/>
        <item x="1"/>
        <item x="5"/>
        <item x="3"/>
        <item x="0"/>
        <item t="default"/>
      </items>
      <autoSortScope>
        <pivotArea dataOnly="0" outline="0" fieldPosition="0">
          <references count="1">
            <reference field="4294967294" count="1" selected="0">
              <x v="3"/>
            </reference>
          </references>
        </pivotArea>
      </autoSortScope>
    </pivotField>
    <pivotField dataField="1"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s>
  <rowFields count="1">
    <field x="10"/>
  </rowFields>
  <rowItems count="8">
    <i>
      <x/>
    </i>
    <i>
      <x v="4"/>
    </i>
    <i>
      <x v="6"/>
    </i>
    <i>
      <x v="3"/>
    </i>
    <i>
      <x v="2"/>
    </i>
    <i>
      <x v="1"/>
    </i>
    <i>
      <x v="5"/>
    </i>
    <i t="grand">
      <x/>
    </i>
  </rowItems>
  <colFields count="1">
    <field x="-2"/>
  </colFields>
  <colItems count="5">
    <i>
      <x/>
    </i>
    <i i="1">
      <x v="1"/>
    </i>
    <i i="2">
      <x v="2"/>
    </i>
    <i i="3">
      <x v="3"/>
    </i>
    <i i="4">
      <x v="4"/>
    </i>
  </colItems>
  <dataFields count="5">
    <dataField name="Transactions" fld="0" subtotal="count" baseField="0" baseItem="0"/>
    <dataField name="Total Spend" fld="11" baseField="0" baseItem="0" numFmtId="164"/>
    <dataField name="Violations " fld="16" baseField="0" baseItem="0"/>
    <dataField name="Violation Rate " fld="16" subtotal="average" baseField="0" baseItem="0" numFmtId="10"/>
    <dataField name="Excess Spend" fld="18" baseField="0" baseItem="0" numFmtId="164"/>
  </dataFields>
  <formats count="3">
    <format dxfId="61">
      <pivotArea outline="0" collapsedLevelsAreSubtotals="1" fieldPosition="0">
        <references count="1">
          <reference field="4294967294" count="1" selected="0">
            <x v="3"/>
          </reference>
        </references>
      </pivotArea>
    </format>
    <format dxfId="60">
      <pivotArea outline="0" collapsedLevelsAreSubtotals="1" fieldPosition="0">
        <references count="1">
          <reference field="4294967294" count="1" selected="0">
            <x v="4"/>
          </reference>
        </references>
      </pivotArea>
    </format>
    <format dxfId="59">
      <pivotArea outline="0" collapsedLevelsAreSubtotals="1" fieldPosition="0">
        <references count="1">
          <reference field="4294967294" count="1" selected="0">
            <x v="1"/>
          </reference>
        </references>
      </pivotArea>
    </format>
  </formats>
  <pivotTableStyleInfo name="PivotStyleLight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F46748-69FF-42D3-9342-9A8DCF2EB9C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view Reason">
  <location ref="A76:D85" firstHeaderRow="0" firstDataRow="1" firstDataCol="1"/>
  <pivotFields count="26">
    <pivotField dataField="1" showAll="0"/>
    <pivotField numFmtId="14"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9">
        <item x="1"/>
        <item x="3"/>
        <item x="0"/>
        <item x="2"/>
        <item x="4"/>
        <item x="7"/>
        <item x="5"/>
        <item x="6"/>
        <item t="default"/>
      </items>
      <autoSortScope>
        <pivotArea dataOnly="0" outline="0" fieldPosition="0">
          <references count="1">
            <reference field="4294967294" count="1" selected="0">
              <x v="0"/>
            </reference>
          </references>
        </pivotArea>
      </autoSortScope>
    </pivotField>
  </pivotFields>
  <rowFields count="1">
    <field x="25"/>
  </rowFields>
  <rowItems count="9">
    <i>
      <x v="2"/>
    </i>
    <i>
      <x v="4"/>
    </i>
    <i>
      <x v="3"/>
    </i>
    <i>
      <x/>
    </i>
    <i>
      <x v="7"/>
    </i>
    <i>
      <x v="5"/>
    </i>
    <i>
      <x v="1"/>
    </i>
    <i>
      <x v="6"/>
    </i>
    <i t="grand">
      <x/>
    </i>
  </rowItems>
  <colFields count="1">
    <field x="-2"/>
  </colFields>
  <colItems count="3">
    <i>
      <x/>
    </i>
    <i i="1">
      <x v="1"/>
    </i>
    <i i="2">
      <x v="2"/>
    </i>
  </colItems>
  <dataFields count="3">
    <dataField name="Transactions" fld="0" subtotal="count" baseField="0" baseItem="0"/>
    <dataField name="Share " fld="0" subtotal="count" showDataAs="percentOfTotal" baseField="0" baseItem="0" numFmtId="10"/>
    <dataField name="Total Spend" fld="11" baseField="0" baseItem="0" numFmtId="164"/>
  </dataFields>
  <formats count="1">
    <format dxfId="62">
      <pivotArea outline="0" collapsedLevelsAreSubtotals="1" fieldPosition="0">
        <references count="1">
          <reference field="4294967294" count="1" selected="0">
            <x v="2"/>
          </reference>
        </references>
      </pivotArea>
    </format>
  </format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5CFD3C0-BFAF-40DC-BBCB-7AF2261B930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usiness Purpose Group">
  <location ref="A26:F33" firstHeaderRow="0" firstDataRow="1" firstDataCol="1"/>
  <pivotFields count="26">
    <pivotField dataField="1" showAll="0"/>
    <pivotField numFmtId="14"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3"/>
            </reference>
          </references>
        </pivotArea>
      </autoSortScope>
    </pivotField>
    <pivotField showAll="0"/>
    <pivotField showAll="0"/>
    <pivotField dataField="1" showAll="0"/>
    <pivotField showAll="0"/>
    <pivotField showAll="0"/>
    <pivotField axis="axisRow" showAll="0" sortType="descending">
      <items count="7">
        <item x="2"/>
        <item x="5"/>
        <item x="3"/>
        <item x="4"/>
        <item x="1"/>
        <item x="0"/>
        <item t="default"/>
      </items>
      <autoSortScope>
        <pivotArea dataOnly="0" outline="0" fieldPosition="0">
          <references count="1">
            <reference field="4294967294" count="1" selected="0">
              <x v="3"/>
            </reference>
          </references>
        </pivotArea>
      </autoSortScope>
    </pivotField>
    <pivotField showAll="0"/>
    <pivotField dataField="1" showAll="0"/>
    <pivotField showAll="0"/>
    <pivotField dataField="1" showAll="0"/>
    <pivotField showAll="0"/>
    <pivotField showAll="0"/>
    <pivotField showAll="0"/>
    <pivotField showAll="0"/>
    <pivotField showAll="0"/>
    <pivotField showAll="0"/>
    <pivotField showAll="0"/>
  </pivotFields>
  <rowFields count="1">
    <field x="14"/>
  </rowFields>
  <rowItems count="7">
    <i>
      <x v="1"/>
    </i>
    <i>
      <x v="4"/>
    </i>
    <i>
      <x/>
    </i>
    <i>
      <x v="2"/>
    </i>
    <i>
      <x v="5"/>
    </i>
    <i>
      <x v="3"/>
    </i>
    <i t="grand">
      <x/>
    </i>
  </rowItems>
  <colFields count="1">
    <field x="-2"/>
  </colFields>
  <colItems count="5">
    <i>
      <x/>
    </i>
    <i i="1">
      <x v="1"/>
    </i>
    <i i="2">
      <x v="2"/>
    </i>
    <i i="3">
      <x v="3"/>
    </i>
    <i i="4">
      <x v="4"/>
    </i>
  </colItems>
  <dataFields count="5">
    <dataField name="Transactions" fld="0" subtotal="count" baseField="0" baseItem="0"/>
    <dataField name="Total Spend" fld="11" baseField="0" baseItem="0" numFmtId="164"/>
    <dataField name="Violations " fld="16" baseField="0" baseItem="0"/>
    <dataField name="Violation Rate " fld="16" subtotal="average" baseField="0" baseItem="0" numFmtId="10"/>
    <dataField name="Excess Spend" fld="18" baseField="0" baseItem="0" numFmtId="164"/>
  </dataFields>
  <formats count="3">
    <format dxfId="65">
      <pivotArea outline="0" collapsedLevelsAreSubtotals="1" fieldPosition="0">
        <references count="1">
          <reference field="4294967294" count="1" selected="0">
            <x v="3"/>
          </reference>
        </references>
      </pivotArea>
    </format>
    <format dxfId="64">
      <pivotArea outline="0" collapsedLevelsAreSubtotals="1" fieldPosition="0">
        <references count="1">
          <reference field="4294967294" count="1" selected="0">
            <x v="4"/>
          </reference>
        </references>
      </pivotArea>
    </format>
    <format dxfId="63">
      <pivotArea outline="0" collapsedLevelsAreSubtotals="1" fieldPosition="0">
        <references count="1">
          <reference field="4294967294" count="1" selected="0">
            <x v="1"/>
          </reference>
        </references>
      </pivotArea>
    </format>
  </formats>
  <pivotTableStyleInfo name="PivotStyleLight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3039482-1D0E-4A6E-B903-DDA66D1E9097}" name="PivotTable2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M53" firstHeaderRow="0" firstDataRow="1" firstDataCol="2"/>
  <pivotFields count="26">
    <pivotField dataField="1"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49">
        <item x="17"/>
        <item x="33"/>
        <item x="28"/>
        <item x="48"/>
        <item x="39"/>
        <item x="42"/>
        <item x="44"/>
        <item x="46"/>
        <item x="11"/>
        <item x="18"/>
        <item x="30"/>
        <item x="1"/>
        <item x="23"/>
        <item x="14"/>
        <item x="36"/>
        <item x="3"/>
        <item x="24"/>
        <item x="15"/>
        <item x="25"/>
        <item x="2"/>
        <item x="4"/>
        <item x="8"/>
        <item x="45"/>
        <item x="29"/>
        <item x="40"/>
        <item x="20"/>
        <item x="5"/>
        <item x="31"/>
        <item x="22"/>
        <item x="47"/>
        <item x="27"/>
        <item x="26"/>
        <item x="41"/>
        <item x="10"/>
        <item x="16"/>
        <item x="34"/>
        <item x="7"/>
        <item x="9"/>
        <item x="35"/>
        <item x="19"/>
        <item x="37"/>
        <item x="21"/>
        <item x="38"/>
        <item x="0"/>
        <item x="32"/>
        <item x="12"/>
        <item x="43"/>
        <item x="6"/>
        <item x="13"/>
      </items>
      <autoSortScope>
        <pivotArea dataOnly="0" outline="0" fieldPosition="0">
          <references count="1">
            <reference field="4294967294" count="1" selected="0">
              <x v="4"/>
            </reference>
          </references>
        </pivotArea>
      </autoSortScope>
      <extLst>
        <ext xmlns:x14="http://schemas.microsoft.com/office/spreadsheetml/2009/9/main" uri="{2946ED86-A175-432a-8AC1-64E0C546D7DE}">
          <x14:pivotField fillDownLabels="1"/>
        </ext>
      </extLst>
    </pivotField>
    <pivotField axis="axisRow" compact="0" outline="0" showAll="0" sortType="descending" defaultSubtotal="0">
      <items count="6">
        <item x="2"/>
        <item x="0"/>
        <item x="5"/>
        <item x="1"/>
        <item x="3"/>
        <item x="4"/>
      </items>
      <autoSortScope>
        <pivotArea dataOnly="0" outline="0" fieldPosition="0">
          <references count="1">
            <reference field="4294967294" count="1" selected="0">
              <x v="4"/>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6"/>
        <item x="2"/>
        <item x="4"/>
        <item x="1"/>
        <item x="5"/>
        <item x="3"/>
        <item x="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x="1"/>
        <item x="3"/>
        <item x="0"/>
        <item x="2"/>
        <item x="4"/>
        <item x="7"/>
        <item x="5"/>
        <item x="6"/>
      </items>
      <extLst>
        <ext xmlns:x14="http://schemas.microsoft.com/office/spreadsheetml/2009/9/main" uri="{2946ED86-A175-432a-8AC1-64E0C546D7DE}">
          <x14:pivotField fillDownLabels="1"/>
        </ext>
      </extLst>
    </pivotField>
  </pivotFields>
  <rowFields count="2">
    <field x="7"/>
    <field x="8"/>
  </rowFields>
  <rowItems count="50">
    <i>
      <x v="17"/>
      <x v="3"/>
    </i>
    <i>
      <x v="35"/>
      <x v="1"/>
    </i>
    <i>
      <x v="19"/>
      <x v="3"/>
    </i>
    <i>
      <x v="30"/>
      <x v="2"/>
    </i>
    <i>
      <x v="15"/>
      <x/>
    </i>
    <i>
      <x v="36"/>
      <x v="2"/>
    </i>
    <i>
      <x v="37"/>
      <x v="1"/>
    </i>
    <i>
      <x v="32"/>
      <x/>
    </i>
    <i>
      <x v="34"/>
      <x v="1"/>
    </i>
    <i>
      <x v="48"/>
      <x v="2"/>
    </i>
    <i>
      <x v="26"/>
      <x v="5"/>
    </i>
    <i>
      <x v="9"/>
      <x v="2"/>
    </i>
    <i>
      <x v="22"/>
      <x v="2"/>
    </i>
    <i>
      <x v="5"/>
      <x/>
    </i>
    <i>
      <x v="8"/>
      <x v="3"/>
    </i>
    <i>
      <x v="21"/>
      <x v="1"/>
    </i>
    <i>
      <x v="25"/>
      <x v="2"/>
    </i>
    <i>
      <x v="41"/>
      <x v="2"/>
    </i>
    <i>
      <x v="43"/>
      <x v="1"/>
    </i>
    <i>
      <x v="24"/>
      <x v="3"/>
    </i>
    <i>
      <x v="47"/>
      <x v="2"/>
    </i>
    <i>
      <x v="33"/>
      <x v="5"/>
    </i>
    <i>
      <x v="38"/>
      <x v="5"/>
    </i>
    <i>
      <x v="45"/>
      <x/>
    </i>
    <i>
      <x v="31"/>
      <x v="5"/>
    </i>
    <i>
      <x v="14"/>
      <x v="5"/>
    </i>
    <i>
      <x v="13"/>
      <x v="5"/>
    </i>
    <i>
      <x v="46"/>
      <x v="2"/>
    </i>
    <i>
      <x v="28"/>
      <x/>
    </i>
    <i>
      <x v="7"/>
      <x v="5"/>
    </i>
    <i>
      <x v="11"/>
      <x v="1"/>
    </i>
    <i>
      <x v="10"/>
      <x v="3"/>
    </i>
    <i>
      <x v="39"/>
      <x v="3"/>
    </i>
    <i>
      <x v="18"/>
      <x v="5"/>
    </i>
    <i>
      <x v="1"/>
      <x v="5"/>
    </i>
    <i>
      <x v="2"/>
      <x v="3"/>
    </i>
    <i>
      <x v="3"/>
      <x/>
    </i>
    <i>
      <x v="20"/>
      <x v="4"/>
    </i>
    <i>
      <x v="40"/>
      <x v="3"/>
    </i>
    <i>
      <x v="23"/>
      <x v="3"/>
    </i>
    <i>
      <x v="42"/>
      <x v="4"/>
    </i>
    <i>
      <x v="29"/>
      <x v="4"/>
    </i>
    <i>
      <x v="44"/>
      <x v="3"/>
    </i>
    <i>
      <x v="6"/>
      <x v="4"/>
    </i>
    <i>
      <x v="12"/>
      <x/>
    </i>
    <i>
      <x/>
      <x v="4"/>
    </i>
    <i>
      <x v="4"/>
      <x v="4"/>
    </i>
    <i>
      <x v="27"/>
      <x v="1"/>
    </i>
    <i>
      <x v="16"/>
      <x v="3"/>
    </i>
    <i t="grand">
      <x/>
    </i>
  </rowItems>
  <colFields count="1">
    <field x="-2"/>
  </colFields>
  <colItems count="11">
    <i>
      <x/>
    </i>
    <i i="1">
      <x v="1"/>
    </i>
    <i i="2">
      <x v="2"/>
    </i>
    <i i="3">
      <x v="3"/>
    </i>
    <i i="4">
      <x v="4"/>
    </i>
    <i i="5">
      <x v="5"/>
    </i>
    <i i="6">
      <x v="6"/>
    </i>
    <i i="7">
      <x v="7"/>
    </i>
    <i i="8">
      <x v="8"/>
    </i>
    <i i="9">
      <x v="9"/>
    </i>
    <i i="10">
      <x v="10"/>
    </i>
  </colItems>
  <dataFields count="11">
    <dataField name="Transactions" fld="0" subtotal="count" baseField="0" baseItem="0"/>
    <dataField name="Total Spend" fld="11" baseField="0" baseItem="0"/>
    <dataField name="Policy Violations" fld="16" baseField="0" baseItem="0"/>
    <dataField name="Violation Rate" fld="16" subtotal="average" baseField="0" baseItem="0" numFmtId="10"/>
    <dataField name="Excess Spend" fld="18" baseField="0" baseItem="0" numFmtId="164"/>
    <dataField name="Missing Receipts" fld="19" baseField="0" baseItem="0"/>
    <dataField name="Missing Receipt Rate" fld="19" subtotal="average" baseField="0" baseItem="0" numFmtId="10"/>
    <dataField name="Missing Receipt Spend " fld="20" baseField="0" baseItem="0" numFmtId="164"/>
    <dataField name="Personal Card Transactions " fld="22" baseField="0" baseItem="0"/>
    <dataField name="Personal Card Rate " fld="22" subtotal="average" baseField="0" baseItem="0" numFmtId="10"/>
    <dataField name="Personal Card Spend " fld="23" baseField="0" baseItem="0" numFmtId="164"/>
  </dataFields>
  <formats count="8">
    <format dxfId="7">
      <pivotArea outline="0" fieldPosition="0">
        <references count="3">
          <reference field="4294967294" count="1" selected="0">
            <x v="1"/>
          </reference>
          <reference field="7" count="48" selected="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 field="8" count="0" selected="0"/>
        </references>
      </pivotArea>
    </format>
    <format dxfId="6">
      <pivotArea field="7" grandRow="1" outline="0" axis="axisRow" fieldPosition="0">
        <references count="1">
          <reference field="4294967294" count="1" selected="0">
            <x v="1"/>
          </reference>
        </references>
      </pivotArea>
    </format>
    <format dxfId="5">
      <pivotArea outline="0" fieldPosition="0">
        <references count="1">
          <reference field="4294967294" count="1" selected="0">
            <x v="4"/>
          </reference>
        </references>
      </pivotArea>
    </format>
    <format dxfId="4">
      <pivotArea outline="0" fieldPosition="0">
        <references count="1">
          <reference field="4294967294" count="1" selected="0">
            <x v="3"/>
          </reference>
        </references>
      </pivotArea>
    </format>
    <format dxfId="3">
      <pivotArea outline="0" fieldPosition="0">
        <references count="1">
          <reference field="4294967294" count="1" selected="0">
            <x v="6"/>
          </reference>
        </references>
      </pivotArea>
    </format>
    <format dxfId="2">
      <pivotArea outline="0" fieldPosition="0">
        <references count="1">
          <reference field="4294967294" count="1" selected="0">
            <x v="9"/>
          </reference>
        </references>
      </pivotArea>
    </format>
    <format dxfId="1">
      <pivotArea outline="0" fieldPosition="0">
        <references count="1">
          <reference field="4294967294" count="1" selected="0">
            <x v="7"/>
          </reference>
        </references>
      </pivotArea>
    </format>
    <format dxfId="0">
      <pivotArea outline="0" fieldPosition="0">
        <references count="1">
          <reference field="4294967294" count="1" selected="0">
            <x v="10"/>
          </reference>
        </references>
      </pivotArea>
    </format>
  </formats>
  <pivotTableStyleInfo name="PivotStyleLight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B842AB5-833C-4C3A-8792-349A62E44DC9}" sourceName="Department">
  <pivotTables>
    <pivotTable tabId="7" name="PivotTable22"/>
  </pivotTables>
  <data>
    <tabular pivotCacheId="1120348714">
      <items count="6">
        <i x="2" s="1"/>
        <i x="0" s="1"/>
        <i x="5"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848AF14-815B-4DF5-908A-F5588881DBB2}" sourceName="Category">
  <pivotTables>
    <pivotTable tabId="7" name="PivotTable22"/>
  </pivotTables>
  <data>
    <tabular pivotCacheId="1120348714">
      <items count="7">
        <i x="6" s="1"/>
        <i x="2" s="1"/>
        <i x="4" s="1"/>
        <i x="1" s="1"/>
        <i x="5"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Reason" xr10:uid="{75926D51-1791-4A70-BFA4-3C3A1DD4D342}" sourceName="Review Reason">
  <pivotTables>
    <pivotTable tabId="7" name="PivotTable22"/>
  </pivotTables>
  <data>
    <tabular pivotCacheId="1120348714">
      <items count="8">
        <i x="1" s="1"/>
        <i x="3" s="1"/>
        <i x="0" s="1"/>
        <i x="2" s="1"/>
        <i x="4" s="1"/>
        <i x="7"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FE3C004-4212-4FD4-B865-6883AE9D75A3}" cache="Slicer_Department" caption="Department" style="SlicerStyleLight6" rowHeight="241300"/>
  <slicer name="Category" xr10:uid="{A06B79CE-AC15-4D6B-9506-78EEED20A20F}" cache="Slicer_Category" caption="Category" style="SlicerStyleLight4" rowHeight="241300"/>
  <slicer name="Review Reason" xr10:uid="{91B95EEF-ADCA-43E4-BF95-7EAFCA110DEF}" cache="Slicer_Review_Reason" caption="Review Reason"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CEE0E5-6D57-4777-B844-FD7FE7D8E438}" name="TE_Audit" displayName="TE_Audit" ref="A1:Z303" totalsRowShown="0">
  <autoFilter ref="A1:Z303" xr:uid="{4DCEE0E5-6D57-4777-B844-FD7FE7D8E438}"/>
  <tableColumns count="26">
    <tableColumn id="1" xr3:uid="{E394CABC-769F-4B7B-95CF-A5FFA889CF1C}" name="Transaction ID" dataDxfId="40"/>
    <tableColumn id="2" xr3:uid="{2FF58BFF-FD6F-4746-8FB2-FDE7F2DDAF56}" name="Date" dataDxfId="39"/>
    <tableColumn id="3" xr3:uid="{B19FEE55-EA41-4E3F-B4B6-D9FE8DDC4A82}" name="Year"/>
    <tableColumn id="4" xr3:uid="{89C6BCEB-1BB2-4970-B6A0-686F32675331}" name="Month Number"/>
    <tableColumn id="5" xr3:uid="{FF85A86D-8ED4-42B4-82EA-ACC519BBE325}" name="Month Name" dataDxfId="38"/>
    <tableColumn id="6" xr3:uid="{EFB5AA71-929D-4883-B46C-71F657CBD01B}" name="Year-Month" dataDxfId="37"/>
    <tableColumn id="7" xr3:uid="{C79A3566-732B-4B54-9C6A-E254F4CF808B}" name="Employee ID" dataDxfId="36"/>
    <tableColumn id="8" xr3:uid="{87EF42EE-0C58-4B74-853E-8BE7510FCBB9}" name="Name" dataDxfId="35"/>
    <tableColumn id="9" xr3:uid="{5B1BFF2B-DC74-489F-8B08-04BB2A5B5C16}" name="Department" dataDxfId="34"/>
    <tableColumn id="10" xr3:uid="{1A55B3B1-4F9B-4083-BBC1-62E99BFA5841}" name="Region" dataDxfId="33"/>
    <tableColumn id="11" xr3:uid="{0DE96389-1636-4D47-9477-42A46A311418}" name="Category" dataDxfId="32"/>
    <tableColumn id="12" xr3:uid="{F3A06A62-DCBA-4A7E-B0AA-AA73E77396B9}" name="Amount"/>
    <tableColumn id="13" xr3:uid="{F6921EAA-6013-4BAF-B780-DC9B2AC5ED55}" name="Payment Method" dataDxfId="31"/>
    <tableColumn id="14" xr3:uid="{5504C486-DE99-4360-AAE3-CE56589A711B}" name="Business Purpose" dataDxfId="30"/>
    <tableColumn id="15" xr3:uid="{9F4D1FA1-69D6-45E8-8E34-FDF5DADDDC2A}" name="Business Purpose Group" dataDxfId="29"/>
    <tableColumn id="16" xr3:uid="{7A265EAB-E35A-4523-9F80-326283A1ECFD}" name="Location" dataDxfId="28"/>
    <tableColumn id="19" xr3:uid="{0EF8080F-B738-45AD-AAE9-CD36318916C5}" name="Policy Violation"/>
    <tableColumn id="17" xr3:uid="{75ABDA24-7B6D-4084-8DE2-875CE63F3B24}" name="Policy Limit"/>
    <tableColumn id="18" xr3:uid="{7D4DA5B3-435B-4241-96B4-A57A1D17C755}" name="Excess Amount"/>
    <tableColumn id="20" xr3:uid="{1B3DBDC6-B204-40BE-A3BD-83F229EEDAEE}" name="Missing Receipt"/>
    <tableColumn id="25" xr3:uid="{851D0E36-75E1-43E8-91FD-1A7419947DD4}" name="Missing Receipt Spend"/>
    <tableColumn id="21" xr3:uid="{E1FC7C68-A9B8-451D-A3DC-0375589A766D}" name="Receipt Status" dataDxfId="27"/>
    <tableColumn id="22" xr3:uid="{E730EA54-112F-4629-A7BC-4712E40CF37F}" name="Personal Card Flag"/>
    <tableColumn id="26" xr3:uid="{DD853295-DA7D-4FEE-B2D2-F47B2F0F4DB2}" name="Personal Card Spend"/>
    <tableColumn id="23" xr3:uid="{E2A7409D-3F29-43DA-B92C-69E90AFA36CA}" name="Compliance Status" dataDxfId="26"/>
    <tableColumn id="24" xr3:uid="{E939DFFF-E51B-4969-B4CF-7DCF098E724C}" name="Review Reason" dataDxfId="25"/>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openxmlformats.org/officeDocument/2006/relationships/drawing" Target="../drawings/drawing2.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510E9-C261-4ED8-B3F5-48B33B89805E}">
  <sheetPr>
    <tabColor theme="7" tint="0.79998168889431442"/>
  </sheetPr>
  <dimension ref="A1:Z303"/>
  <sheetViews>
    <sheetView topLeftCell="A34" zoomScale="40" zoomScaleNormal="40" workbookViewId="0">
      <selection activeCell="Q23" sqref="Q23"/>
    </sheetView>
  </sheetViews>
  <sheetFormatPr defaultRowHeight="14.5" x14ac:dyDescent="0.35"/>
  <cols>
    <col min="1" max="1" width="19.1796875" bestFit="1" customWidth="1"/>
    <col min="2" max="2" width="11.453125" bestFit="1" customWidth="1"/>
    <col min="3" max="3" width="11" bestFit="1" customWidth="1"/>
    <col min="4" max="4" width="20.54296875" bestFit="1" customWidth="1"/>
    <col min="5" max="5" width="18.54296875" bestFit="1" customWidth="1"/>
    <col min="6" max="6" width="17.6328125" bestFit="1" customWidth="1"/>
    <col min="7" max="7" width="17.81640625" bestFit="1" customWidth="1"/>
    <col min="8" max="8" width="17.36328125" bestFit="1" customWidth="1"/>
    <col min="9" max="9" width="17.6328125" bestFit="1" customWidth="1"/>
    <col min="10" max="10" width="14.90625" bestFit="1" customWidth="1"/>
    <col min="11" max="11" width="14.6328125" bestFit="1" customWidth="1"/>
    <col min="12" max="12" width="14" bestFit="1" customWidth="1"/>
    <col min="13" max="13" width="22.36328125" bestFit="1" customWidth="1"/>
    <col min="14" max="14" width="27.81640625" bestFit="1" customWidth="1"/>
    <col min="15" max="15" width="29" bestFit="1" customWidth="1"/>
    <col min="16" max="16" width="22.6328125" bestFit="1" customWidth="1"/>
    <col min="17" max="17" width="20.08984375" bestFit="1" customWidth="1"/>
    <col min="18" max="18" width="16.7265625" bestFit="1" customWidth="1"/>
    <col min="19" max="19" width="20.08984375" bestFit="1" customWidth="1"/>
    <col min="20" max="20" width="21" bestFit="1" customWidth="1"/>
    <col min="21" max="21" width="27.1796875" bestFit="1" customWidth="1"/>
    <col min="22" max="22" width="19.453125" bestFit="1" customWidth="1"/>
    <col min="23" max="23" width="22.81640625" bestFit="1" customWidth="1"/>
    <col min="24" max="24" width="25.08984375" bestFit="1" customWidth="1"/>
    <col min="25" max="25" width="23.08984375" bestFit="1" customWidth="1"/>
    <col min="26" max="26" width="44.453125" bestFit="1" customWidth="1"/>
  </cols>
  <sheetData>
    <row r="1" spans="1:26" x14ac:dyDescent="0.35">
      <c r="A1" t="s">
        <v>14</v>
      </c>
      <c r="B1" t="s">
        <v>15</v>
      </c>
      <c r="C1" t="s">
        <v>16</v>
      </c>
      <c r="D1" t="s">
        <v>17</v>
      </c>
      <c r="E1" t="s">
        <v>18</v>
      </c>
      <c r="F1" t="s">
        <v>19</v>
      </c>
      <c r="G1" t="s">
        <v>20</v>
      </c>
      <c r="H1" t="s">
        <v>21</v>
      </c>
      <c r="I1" t="s">
        <v>22</v>
      </c>
      <c r="J1" t="s">
        <v>23</v>
      </c>
      <c r="K1" t="s">
        <v>24</v>
      </c>
      <c r="L1" t="s">
        <v>25</v>
      </c>
      <c r="M1" t="s">
        <v>26</v>
      </c>
      <c r="N1" t="s">
        <v>27</v>
      </c>
      <c r="O1" t="s">
        <v>28</v>
      </c>
      <c r="P1" t="s">
        <v>29</v>
      </c>
      <c r="Q1" t="s">
        <v>32</v>
      </c>
      <c r="R1" t="s">
        <v>30</v>
      </c>
      <c r="S1" t="s">
        <v>31</v>
      </c>
      <c r="T1" t="s">
        <v>33</v>
      </c>
      <c r="U1" t="s">
        <v>11</v>
      </c>
      <c r="V1" t="s">
        <v>34</v>
      </c>
      <c r="W1" t="s">
        <v>35</v>
      </c>
      <c r="X1" t="s">
        <v>13</v>
      </c>
      <c r="Y1" t="s">
        <v>36</v>
      </c>
      <c r="Z1" t="s">
        <v>37</v>
      </c>
    </row>
    <row r="2" spans="1:26" x14ac:dyDescent="0.35">
      <c r="A2" t="s">
        <v>38</v>
      </c>
      <c r="B2" s="2">
        <v>45931</v>
      </c>
      <c r="C2">
        <v>2025</v>
      </c>
      <c r="D2">
        <v>10</v>
      </c>
      <c r="E2" t="s">
        <v>39</v>
      </c>
      <c r="F2" t="s">
        <v>531</v>
      </c>
      <c r="G2" t="s">
        <v>40</v>
      </c>
      <c r="H2" t="s">
        <v>41</v>
      </c>
      <c r="I2" t="s">
        <v>42</v>
      </c>
      <c r="J2" t="s">
        <v>43</v>
      </c>
      <c r="K2" t="s">
        <v>44</v>
      </c>
      <c r="L2">
        <v>120.71</v>
      </c>
      <c r="M2" t="s">
        <v>45</v>
      </c>
      <c r="N2" t="s">
        <v>46</v>
      </c>
      <c r="O2" t="s">
        <v>47</v>
      </c>
      <c r="P2" t="s">
        <v>43</v>
      </c>
      <c r="Q2">
        <v>0</v>
      </c>
      <c r="R2">
        <v>150</v>
      </c>
      <c r="S2">
        <v>0</v>
      </c>
      <c r="T2">
        <v>0</v>
      </c>
      <c r="U2">
        <v>0</v>
      </c>
      <c r="V2" t="s">
        <v>48</v>
      </c>
      <c r="W2">
        <v>0</v>
      </c>
      <c r="X2">
        <v>0</v>
      </c>
      <c r="Y2" t="s">
        <v>49</v>
      </c>
      <c r="Z2" t="s">
        <v>49</v>
      </c>
    </row>
    <row r="3" spans="1:26" x14ac:dyDescent="0.35">
      <c r="A3" t="s">
        <v>50</v>
      </c>
      <c r="B3" s="2">
        <v>45715</v>
      </c>
      <c r="C3">
        <v>2025</v>
      </c>
      <c r="D3">
        <v>2</v>
      </c>
      <c r="E3" t="s">
        <v>51</v>
      </c>
      <c r="F3" t="s">
        <v>532</v>
      </c>
      <c r="G3" t="s">
        <v>52</v>
      </c>
      <c r="H3" t="s">
        <v>53</v>
      </c>
      <c r="I3" t="s">
        <v>42</v>
      </c>
      <c r="J3" t="s">
        <v>54</v>
      </c>
      <c r="K3" t="s">
        <v>55</v>
      </c>
      <c r="L3">
        <v>118.27</v>
      </c>
      <c r="M3" t="s">
        <v>45</v>
      </c>
      <c r="N3" t="s">
        <v>56</v>
      </c>
      <c r="O3" t="s">
        <v>57</v>
      </c>
      <c r="P3" t="s">
        <v>58</v>
      </c>
      <c r="Q3">
        <v>0</v>
      </c>
      <c r="R3">
        <v>300</v>
      </c>
      <c r="S3">
        <v>0</v>
      </c>
      <c r="T3">
        <v>0</v>
      </c>
      <c r="U3">
        <v>0</v>
      </c>
      <c r="V3" t="s">
        <v>48</v>
      </c>
      <c r="W3">
        <v>0</v>
      </c>
      <c r="X3">
        <v>0</v>
      </c>
      <c r="Y3" t="s">
        <v>49</v>
      </c>
      <c r="Z3" t="s">
        <v>49</v>
      </c>
    </row>
    <row r="4" spans="1:26" x14ac:dyDescent="0.35">
      <c r="A4" t="s">
        <v>59</v>
      </c>
      <c r="B4" s="2">
        <v>45861</v>
      </c>
      <c r="C4">
        <v>2025</v>
      </c>
      <c r="D4">
        <v>7</v>
      </c>
      <c r="E4" t="s">
        <v>60</v>
      </c>
      <c r="F4" t="s">
        <v>533</v>
      </c>
      <c r="G4" t="s">
        <v>61</v>
      </c>
      <c r="H4" t="s">
        <v>62</v>
      </c>
      <c r="I4" t="s">
        <v>63</v>
      </c>
      <c r="J4" t="s">
        <v>54</v>
      </c>
      <c r="K4" t="s">
        <v>64</v>
      </c>
      <c r="L4">
        <v>15.83</v>
      </c>
      <c r="M4" t="s">
        <v>45</v>
      </c>
      <c r="N4" t="s">
        <v>65</v>
      </c>
      <c r="O4" t="s">
        <v>66</v>
      </c>
      <c r="P4" t="s">
        <v>58</v>
      </c>
      <c r="Q4">
        <v>0</v>
      </c>
      <c r="R4">
        <v>30</v>
      </c>
      <c r="S4">
        <v>0</v>
      </c>
      <c r="T4">
        <v>1</v>
      </c>
      <c r="U4">
        <v>15.83</v>
      </c>
      <c r="V4" t="s">
        <v>33</v>
      </c>
      <c r="W4">
        <v>0</v>
      </c>
      <c r="X4">
        <v>0</v>
      </c>
      <c r="Y4" t="s">
        <v>67</v>
      </c>
      <c r="Z4" t="s">
        <v>33</v>
      </c>
    </row>
    <row r="5" spans="1:26" x14ac:dyDescent="0.35">
      <c r="A5" t="s">
        <v>68</v>
      </c>
      <c r="B5" s="2">
        <v>45953</v>
      </c>
      <c r="C5">
        <v>2025</v>
      </c>
      <c r="D5">
        <v>10</v>
      </c>
      <c r="E5" t="s">
        <v>39</v>
      </c>
      <c r="F5" t="s">
        <v>531</v>
      </c>
      <c r="G5" t="s">
        <v>69</v>
      </c>
      <c r="H5" t="s">
        <v>70</v>
      </c>
      <c r="I5" t="s">
        <v>71</v>
      </c>
      <c r="J5" t="s">
        <v>43</v>
      </c>
      <c r="K5" t="s">
        <v>72</v>
      </c>
      <c r="L5">
        <v>59.98</v>
      </c>
      <c r="M5" t="s">
        <v>73</v>
      </c>
      <c r="N5" t="s">
        <v>74</v>
      </c>
      <c r="O5" t="s">
        <v>66</v>
      </c>
      <c r="P5" t="s">
        <v>75</v>
      </c>
      <c r="Q5">
        <v>0</v>
      </c>
      <c r="R5">
        <v>75</v>
      </c>
      <c r="S5">
        <v>0</v>
      </c>
      <c r="T5">
        <v>0</v>
      </c>
      <c r="U5">
        <v>0</v>
      </c>
      <c r="V5" t="s">
        <v>48</v>
      </c>
      <c r="W5">
        <v>1</v>
      </c>
      <c r="X5">
        <v>59.98</v>
      </c>
      <c r="Y5" t="s">
        <v>67</v>
      </c>
      <c r="Z5" t="s">
        <v>73</v>
      </c>
    </row>
    <row r="6" spans="1:26" x14ac:dyDescent="0.35">
      <c r="A6" t="s">
        <v>76</v>
      </c>
      <c r="B6" s="2">
        <v>45768</v>
      </c>
      <c r="C6">
        <v>2025</v>
      </c>
      <c r="D6">
        <v>4</v>
      </c>
      <c r="E6" t="s">
        <v>77</v>
      </c>
      <c r="F6" t="s">
        <v>534</v>
      </c>
      <c r="G6" t="s">
        <v>78</v>
      </c>
      <c r="H6" t="s">
        <v>79</v>
      </c>
      <c r="I6" t="s">
        <v>80</v>
      </c>
      <c r="J6" t="s">
        <v>54</v>
      </c>
      <c r="K6" t="s">
        <v>81</v>
      </c>
      <c r="L6">
        <v>53.45</v>
      </c>
      <c r="M6" t="s">
        <v>45</v>
      </c>
      <c r="N6" t="s">
        <v>46</v>
      </c>
      <c r="O6" t="s">
        <v>47</v>
      </c>
      <c r="P6" t="s">
        <v>75</v>
      </c>
      <c r="Q6">
        <v>0</v>
      </c>
      <c r="R6">
        <v>75</v>
      </c>
      <c r="S6">
        <v>0</v>
      </c>
      <c r="T6">
        <v>0</v>
      </c>
      <c r="U6">
        <v>0</v>
      </c>
      <c r="V6" t="s">
        <v>48</v>
      </c>
      <c r="W6">
        <v>0</v>
      </c>
      <c r="X6">
        <v>0</v>
      </c>
      <c r="Y6" t="s">
        <v>49</v>
      </c>
      <c r="Z6" t="s">
        <v>49</v>
      </c>
    </row>
    <row r="7" spans="1:26" x14ac:dyDescent="0.35">
      <c r="A7" t="s">
        <v>82</v>
      </c>
      <c r="B7" s="2">
        <v>45828</v>
      </c>
      <c r="C7">
        <v>2025</v>
      </c>
      <c r="D7">
        <v>6</v>
      </c>
      <c r="E7" t="s">
        <v>83</v>
      </c>
      <c r="F7" t="s">
        <v>535</v>
      </c>
      <c r="G7" t="s">
        <v>84</v>
      </c>
      <c r="H7" t="s">
        <v>85</v>
      </c>
      <c r="I7" t="s">
        <v>86</v>
      </c>
      <c r="J7" t="s">
        <v>58</v>
      </c>
      <c r="K7" t="s">
        <v>87</v>
      </c>
      <c r="L7">
        <v>27.01</v>
      </c>
      <c r="M7" t="s">
        <v>45</v>
      </c>
      <c r="N7" t="s">
        <v>88</v>
      </c>
      <c r="O7" t="s">
        <v>66</v>
      </c>
      <c r="P7" t="s">
        <v>89</v>
      </c>
      <c r="Q7">
        <v>0</v>
      </c>
      <c r="R7">
        <v>50</v>
      </c>
      <c r="S7">
        <v>0</v>
      </c>
      <c r="T7">
        <v>0</v>
      </c>
      <c r="U7">
        <v>0</v>
      </c>
      <c r="V7" t="s">
        <v>48</v>
      </c>
      <c r="W7">
        <v>0</v>
      </c>
      <c r="X7">
        <v>0</v>
      </c>
      <c r="Y7" t="s">
        <v>49</v>
      </c>
      <c r="Z7" t="s">
        <v>49</v>
      </c>
    </row>
    <row r="8" spans="1:26" x14ac:dyDescent="0.35">
      <c r="A8" t="s">
        <v>90</v>
      </c>
      <c r="B8" s="2">
        <v>45838</v>
      </c>
      <c r="C8">
        <v>2025</v>
      </c>
      <c r="D8">
        <v>6</v>
      </c>
      <c r="E8" t="s">
        <v>83</v>
      </c>
      <c r="F8" t="s">
        <v>535</v>
      </c>
      <c r="G8" t="s">
        <v>91</v>
      </c>
      <c r="H8" t="s">
        <v>92</v>
      </c>
      <c r="I8" t="s">
        <v>93</v>
      </c>
      <c r="J8" t="s">
        <v>54</v>
      </c>
      <c r="K8" t="s">
        <v>55</v>
      </c>
      <c r="L8">
        <v>119.45</v>
      </c>
      <c r="M8" t="s">
        <v>73</v>
      </c>
      <c r="N8" t="s">
        <v>46</v>
      </c>
      <c r="O8" t="s">
        <v>47</v>
      </c>
      <c r="P8" t="s">
        <v>94</v>
      </c>
      <c r="Q8">
        <v>0</v>
      </c>
      <c r="R8">
        <v>300</v>
      </c>
      <c r="S8">
        <v>0</v>
      </c>
      <c r="T8">
        <v>0</v>
      </c>
      <c r="U8">
        <v>0</v>
      </c>
      <c r="V8" t="s">
        <v>48</v>
      </c>
      <c r="W8">
        <v>1</v>
      </c>
      <c r="X8">
        <v>119.45</v>
      </c>
      <c r="Y8" t="s">
        <v>67</v>
      </c>
      <c r="Z8" t="s">
        <v>73</v>
      </c>
    </row>
    <row r="9" spans="1:26" x14ac:dyDescent="0.35">
      <c r="A9" t="s">
        <v>95</v>
      </c>
      <c r="B9" s="2">
        <v>45881</v>
      </c>
      <c r="C9">
        <v>2025</v>
      </c>
      <c r="D9">
        <v>8</v>
      </c>
      <c r="E9" t="s">
        <v>96</v>
      </c>
      <c r="F9" t="s">
        <v>536</v>
      </c>
      <c r="G9" t="s">
        <v>97</v>
      </c>
      <c r="H9" t="s">
        <v>98</v>
      </c>
      <c r="I9" t="s">
        <v>93</v>
      </c>
      <c r="J9" t="s">
        <v>54</v>
      </c>
      <c r="K9" t="s">
        <v>81</v>
      </c>
      <c r="L9">
        <v>36.96</v>
      </c>
      <c r="M9" t="s">
        <v>73</v>
      </c>
      <c r="N9" t="s">
        <v>99</v>
      </c>
      <c r="O9" t="s">
        <v>100</v>
      </c>
      <c r="P9" t="s">
        <v>94</v>
      </c>
      <c r="Q9">
        <v>0</v>
      </c>
      <c r="R9">
        <v>75</v>
      </c>
      <c r="S9">
        <v>0</v>
      </c>
      <c r="T9">
        <v>1</v>
      </c>
      <c r="U9">
        <v>36.96</v>
      </c>
      <c r="V9" t="s">
        <v>33</v>
      </c>
      <c r="W9">
        <v>1</v>
      </c>
      <c r="X9">
        <v>36.96</v>
      </c>
      <c r="Y9" t="s">
        <v>67</v>
      </c>
      <c r="Z9" t="s">
        <v>101</v>
      </c>
    </row>
    <row r="10" spans="1:26" x14ac:dyDescent="0.35">
      <c r="A10" t="s">
        <v>102</v>
      </c>
      <c r="B10" s="2">
        <v>45999</v>
      </c>
      <c r="C10">
        <v>2025</v>
      </c>
      <c r="D10">
        <v>12</v>
      </c>
      <c r="E10" t="s">
        <v>103</v>
      </c>
      <c r="F10" t="s">
        <v>537</v>
      </c>
      <c r="G10" t="s">
        <v>61</v>
      </c>
      <c r="H10" t="s">
        <v>62</v>
      </c>
      <c r="I10" t="s">
        <v>63</v>
      </c>
      <c r="J10" t="s">
        <v>54</v>
      </c>
      <c r="K10" t="s">
        <v>55</v>
      </c>
      <c r="L10">
        <v>260.81</v>
      </c>
      <c r="M10" t="s">
        <v>45</v>
      </c>
      <c r="N10" t="s">
        <v>104</v>
      </c>
      <c r="O10" t="s">
        <v>105</v>
      </c>
      <c r="P10" t="s">
        <v>106</v>
      </c>
      <c r="Q10">
        <v>0</v>
      </c>
      <c r="R10">
        <v>300</v>
      </c>
      <c r="S10">
        <v>0</v>
      </c>
      <c r="T10">
        <v>0</v>
      </c>
      <c r="U10">
        <v>0</v>
      </c>
      <c r="V10" t="s">
        <v>48</v>
      </c>
      <c r="W10">
        <v>0</v>
      </c>
      <c r="X10">
        <v>0</v>
      </c>
      <c r="Y10" t="s">
        <v>49</v>
      </c>
      <c r="Z10" t="s">
        <v>49</v>
      </c>
    </row>
    <row r="11" spans="1:26" x14ac:dyDescent="0.35">
      <c r="A11" t="s">
        <v>107</v>
      </c>
      <c r="B11" s="2">
        <v>45810</v>
      </c>
      <c r="C11">
        <v>2025</v>
      </c>
      <c r="D11">
        <v>6</v>
      </c>
      <c r="E11" t="s">
        <v>83</v>
      </c>
      <c r="F11" t="s">
        <v>535</v>
      </c>
      <c r="G11" t="s">
        <v>61</v>
      </c>
      <c r="H11" t="s">
        <v>62</v>
      </c>
      <c r="I11" t="s">
        <v>63</v>
      </c>
      <c r="J11" t="s">
        <v>54</v>
      </c>
      <c r="K11" t="s">
        <v>108</v>
      </c>
      <c r="L11">
        <v>962.1</v>
      </c>
      <c r="M11" t="s">
        <v>45</v>
      </c>
      <c r="N11" t="s">
        <v>109</v>
      </c>
      <c r="O11" t="s">
        <v>110</v>
      </c>
      <c r="P11" t="s">
        <v>111</v>
      </c>
      <c r="Q11">
        <v>1</v>
      </c>
      <c r="R11">
        <v>800</v>
      </c>
      <c r="S11">
        <v>162.1</v>
      </c>
      <c r="T11">
        <v>0</v>
      </c>
      <c r="U11">
        <v>0</v>
      </c>
      <c r="V11" t="s">
        <v>48</v>
      </c>
      <c r="W11">
        <v>0</v>
      </c>
      <c r="X11">
        <v>0</v>
      </c>
      <c r="Y11" t="s">
        <v>67</v>
      </c>
      <c r="Z11" t="s">
        <v>32</v>
      </c>
    </row>
    <row r="12" spans="1:26" x14ac:dyDescent="0.35">
      <c r="A12" t="s">
        <v>112</v>
      </c>
      <c r="B12" s="2">
        <v>45782</v>
      </c>
      <c r="C12">
        <v>2025</v>
      </c>
      <c r="D12">
        <v>5</v>
      </c>
      <c r="E12" t="s">
        <v>113</v>
      </c>
      <c r="F12" t="s">
        <v>538</v>
      </c>
      <c r="G12" t="s">
        <v>114</v>
      </c>
      <c r="H12" t="s">
        <v>115</v>
      </c>
      <c r="I12" t="s">
        <v>42</v>
      </c>
      <c r="J12" t="s">
        <v>54</v>
      </c>
      <c r="K12" t="s">
        <v>108</v>
      </c>
      <c r="L12">
        <v>907.48</v>
      </c>
      <c r="M12" t="s">
        <v>45</v>
      </c>
      <c r="N12" t="s">
        <v>116</v>
      </c>
      <c r="O12" t="s">
        <v>57</v>
      </c>
      <c r="P12" t="s">
        <v>58</v>
      </c>
      <c r="Q12">
        <v>1</v>
      </c>
      <c r="R12">
        <v>800</v>
      </c>
      <c r="S12">
        <v>107.48</v>
      </c>
      <c r="T12">
        <v>0</v>
      </c>
      <c r="U12">
        <v>0</v>
      </c>
      <c r="V12" t="s">
        <v>48</v>
      </c>
      <c r="W12">
        <v>0</v>
      </c>
      <c r="X12">
        <v>0</v>
      </c>
      <c r="Y12" t="s">
        <v>67</v>
      </c>
      <c r="Z12" t="s">
        <v>32</v>
      </c>
    </row>
    <row r="13" spans="1:26" x14ac:dyDescent="0.35">
      <c r="A13" t="s">
        <v>117</v>
      </c>
      <c r="B13" s="2">
        <v>45898</v>
      </c>
      <c r="C13">
        <v>2025</v>
      </c>
      <c r="D13">
        <v>8</v>
      </c>
      <c r="E13" t="s">
        <v>96</v>
      </c>
      <c r="F13" t="s">
        <v>536</v>
      </c>
      <c r="G13" t="s">
        <v>118</v>
      </c>
      <c r="H13" t="s">
        <v>119</v>
      </c>
      <c r="I13" t="s">
        <v>42</v>
      </c>
      <c r="J13" t="s">
        <v>54</v>
      </c>
      <c r="K13" t="s">
        <v>64</v>
      </c>
      <c r="L13">
        <v>22.79</v>
      </c>
      <c r="M13" t="s">
        <v>45</v>
      </c>
      <c r="N13" t="s">
        <v>65</v>
      </c>
      <c r="O13" t="s">
        <v>66</v>
      </c>
      <c r="P13" t="s">
        <v>106</v>
      </c>
      <c r="Q13">
        <v>0</v>
      </c>
      <c r="R13">
        <v>30</v>
      </c>
      <c r="S13">
        <v>0</v>
      </c>
      <c r="T13">
        <v>0</v>
      </c>
      <c r="U13">
        <v>0</v>
      </c>
      <c r="V13" t="s">
        <v>48</v>
      </c>
      <c r="W13">
        <v>0</v>
      </c>
      <c r="X13">
        <v>0</v>
      </c>
      <c r="Y13" t="s">
        <v>49</v>
      </c>
      <c r="Z13" t="s">
        <v>49</v>
      </c>
    </row>
    <row r="14" spans="1:26" x14ac:dyDescent="0.35">
      <c r="A14" t="s">
        <v>120</v>
      </c>
      <c r="B14" s="2">
        <v>45925</v>
      </c>
      <c r="C14">
        <v>2025</v>
      </c>
      <c r="D14">
        <v>9</v>
      </c>
      <c r="E14" t="s">
        <v>121</v>
      </c>
      <c r="F14" t="s">
        <v>539</v>
      </c>
      <c r="G14" t="s">
        <v>114</v>
      </c>
      <c r="H14" t="s">
        <v>115</v>
      </c>
      <c r="I14" t="s">
        <v>42</v>
      </c>
      <c r="J14" t="s">
        <v>54</v>
      </c>
      <c r="K14" t="s">
        <v>44</v>
      </c>
      <c r="L14">
        <v>119.2</v>
      </c>
      <c r="M14" t="s">
        <v>45</v>
      </c>
      <c r="N14" t="s">
        <v>122</v>
      </c>
      <c r="O14" t="s">
        <v>100</v>
      </c>
      <c r="P14" t="s">
        <v>54</v>
      </c>
      <c r="Q14">
        <v>0</v>
      </c>
      <c r="R14">
        <v>150</v>
      </c>
      <c r="S14">
        <v>0</v>
      </c>
      <c r="T14">
        <v>1</v>
      </c>
      <c r="U14">
        <v>119.2</v>
      </c>
      <c r="V14" t="s">
        <v>33</v>
      </c>
      <c r="W14">
        <v>0</v>
      </c>
      <c r="X14">
        <v>0</v>
      </c>
      <c r="Y14" t="s">
        <v>67</v>
      </c>
      <c r="Z14" t="s">
        <v>33</v>
      </c>
    </row>
    <row r="15" spans="1:26" x14ac:dyDescent="0.35">
      <c r="A15" t="s">
        <v>123</v>
      </c>
      <c r="B15" s="2">
        <v>45826</v>
      </c>
      <c r="C15">
        <v>2025</v>
      </c>
      <c r="D15">
        <v>6</v>
      </c>
      <c r="E15" t="s">
        <v>83</v>
      </c>
      <c r="F15" t="s">
        <v>535</v>
      </c>
      <c r="G15" t="s">
        <v>124</v>
      </c>
      <c r="H15" t="s">
        <v>125</v>
      </c>
      <c r="I15" t="s">
        <v>86</v>
      </c>
      <c r="J15" t="s">
        <v>43</v>
      </c>
      <c r="K15" t="s">
        <v>81</v>
      </c>
      <c r="L15">
        <v>40.9</v>
      </c>
      <c r="M15" t="s">
        <v>45</v>
      </c>
      <c r="N15" t="s">
        <v>109</v>
      </c>
      <c r="O15" t="s">
        <v>110</v>
      </c>
      <c r="P15" t="s">
        <v>75</v>
      </c>
      <c r="Q15">
        <v>0</v>
      </c>
      <c r="R15">
        <v>75</v>
      </c>
      <c r="S15">
        <v>0</v>
      </c>
      <c r="T15">
        <v>0</v>
      </c>
      <c r="U15">
        <v>0</v>
      </c>
      <c r="V15" t="s">
        <v>48</v>
      </c>
      <c r="W15">
        <v>0</v>
      </c>
      <c r="X15">
        <v>0</v>
      </c>
      <c r="Y15" t="s">
        <v>49</v>
      </c>
      <c r="Z15" t="s">
        <v>49</v>
      </c>
    </row>
    <row r="16" spans="1:26" x14ac:dyDescent="0.35">
      <c r="A16" t="s">
        <v>126</v>
      </c>
      <c r="B16" s="2">
        <v>45770</v>
      </c>
      <c r="C16">
        <v>2025</v>
      </c>
      <c r="D16">
        <v>4</v>
      </c>
      <c r="E16" t="s">
        <v>77</v>
      </c>
      <c r="F16" t="s">
        <v>534</v>
      </c>
      <c r="G16" t="s">
        <v>127</v>
      </c>
      <c r="H16" t="s">
        <v>128</v>
      </c>
      <c r="I16" t="s">
        <v>63</v>
      </c>
      <c r="J16" t="s">
        <v>54</v>
      </c>
      <c r="K16" t="s">
        <v>64</v>
      </c>
      <c r="L16">
        <v>25.22</v>
      </c>
      <c r="M16" t="s">
        <v>45</v>
      </c>
      <c r="N16" t="s">
        <v>122</v>
      </c>
      <c r="O16" t="s">
        <v>100</v>
      </c>
      <c r="P16" t="s">
        <v>54</v>
      </c>
      <c r="Q16">
        <v>0</v>
      </c>
      <c r="R16">
        <v>30</v>
      </c>
      <c r="S16">
        <v>0</v>
      </c>
      <c r="T16">
        <v>0</v>
      </c>
      <c r="U16">
        <v>0</v>
      </c>
      <c r="V16" t="s">
        <v>48</v>
      </c>
      <c r="W16">
        <v>0</v>
      </c>
      <c r="X16">
        <v>0</v>
      </c>
      <c r="Y16" t="s">
        <v>49</v>
      </c>
      <c r="Z16" t="s">
        <v>49</v>
      </c>
    </row>
    <row r="17" spans="1:26" x14ac:dyDescent="0.35">
      <c r="A17" t="s">
        <v>129</v>
      </c>
      <c r="B17" s="2">
        <v>45925</v>
      </c>
      <c r="C17">
        <v>2025</v>
      </c>
      <c r="D17">
        <v>9</v>
      </c>
      <c r="E17" t="s">
        <v>121</v>
      </c>
      <c r="F17" t="s">
        <v>539</v>
      </c>
      <c r="G17" t="s">
        <v>84</v>
      </c>
      <c r="H17" t="s">
        <v>85</v>
      </c>
      <c r="I17" t="s">
        <v>86</v>
      </c>
      <c r="J17" t="s">
        <v>58</v>
      </c>
      <c r="K17" t="s">
        <v>81</v>
      </c>
      <c r="L17">
        <v>31.53</v>
      </c>
      <c r="M17" t="s">
        <v>45</v>
      </c>
      <c r="N17" t="s">
        <v>109</v>
      </c>
      <c r="O17" t="s">
        <v>110</v>
      </c>
      <c r="P17" t="s">
        <v>89</v>
      </c>
      <c r="Q17">
        <v>0</v>
      </c>
      <c r="R17">
        <v>75</v>
      </c>
      <c r="S17">
        <v>0</v>
      </c>
      <c r="T17">
        <v>0</v>
      </c>
      <c r="U17">
        <v>0</v>
      </c>
      <c r="V17" t="s">
        <v>48</v>
      </c>
      <c r="W17">
        <v>0</v>
      </c>
      <c r="X17">
        <v>0</v>
      </c>
      <c r="Y17" t="s">
        <v>49</v>
      </c>
      <c r="Z17" t="s">
        <v>49</v>
      </c>
    </row>
    <row r="18" spans="1:26" x14ac:dyDescent="0.35">
      <c r="A18" t="s">
        <v>130</v>
      </c>
      <c r="B18" s="2">
        <v>46001</v>
      </c>
      <c r="C18">
        <v>2025</v>
      </c>
      <c r="D18">
        <v>12</v>
      </c>
      <c r="E18" t="s">
        <v>103</v>
      </c>
      <c r="F18" t="s">
        <v>537</v>
      </c>
      <c r="G18" t="s">
        <v>61</v>
      </c>
      <c r="H18" t="s">
        <v>62</v>
      </c>
      <c r="I18" t="s">
        <v>63</v>
      </c>
      <c r="J18" t="s">
        <v>54</v>
      </c>
      <c r="K18" t="s">
        <v>87</v>
      </c>
      <c r="L18">
        <v>58.77</v>
      </c>
      <c r="M18" t="s">
        <v>45</v>
      </c>
      <c r="N18" t="s">
        <v>65</v>
      </c>
      <c r="O18" t="s">
        <v>66</v>
      </c>
      <c r="P18" t="s">
        <v>111</v>
      </c>
      <c r="Q18">
        <v>1</v>
      </c>
      <c r="R18">
        <v>50</v>
      </c>
      <c r="S18">
        <v>8.77</v>
      </c>
      <c r="T18">
        <v>0</v>
      </c>
      <c r="U18">
        <v>0</v>
      </c>
      <c r="V18" t="s">
        <v>48</v>
      </c>
      <c r="W18">
        <v>0</v>
      </c>
      <c r="X18">
        <v>0</v>
      </c>
      <c r="Y18" t="s">
        <v>67</v>
      </c>
      <c r="Z18" t="s">
        <v>32</v>
      </c>
    </row>
    <row r="19" spans="1:26" x14ac:dyDescent="0.35">
      <c r="A19" t="s">
        <v>131</v>
      </c>
      <c r="B19" s="2">
        <v>45978</v>
      </c>
      <c r="C19">
        <v>2025</v>
      </c>
      <c r="D19">
        <v>11</v>
      </c>
      <c r="E19" t="s">
        <v>132</v>
      </c>
      <c r="F19" t="s">
        <v>540</v>
      </c>
      <c r="G19" t="s">
        <v>61</v>
      </c>
      <c r="H19" t="s">
        <v>62</v>
      </c>
      <c r="I19" t="s">
        <v>63</v>
      </c>
      <c r="J19" t="s">
        <v>54</v>
      </c>
      <c r="K19" t="s">
        <v>44</v>
      </c>
      <c r="L19">
        <v>173.61</v>
      </c>
      <c r="M19" t="s">
        <v>73</v>
      </c>
      <c r="N19" t="s">
        <v>46</v>
      </c>
      <c r="O19" t="s">
        <v>47</v>
      </c>
      <c r="P19" t="s">
        <v>58</v>
      </c>
      <c r="Q19">
        <v>1</v>
      </c>
      <c r="R19">
        <v>150</v>
      </c>
      <c r="S19">
        <v>23.61</v>
      </c>
      <c r="T19">
        <v>1</v>
      </c>
      <c r="U19">
        <v>173.61</v>
      </c>
      <c r="V19" t="s">
        <v>33</v>
      </c>
      <c r="W19">
        <v>1</v>
      </c>
      <c r="X19">
        <v>173.61</v>
      </c>
      <c r="Y19" t="s">
        <v>67</v>
      </c>
      <c r="Z19" t="s">
        <v>133</v>
      </c>
    </row>
    <row r="20" spans="1:26" x14ac:dyDescent="0.35">
      <c r="A20" t="s">
        <v>134</v>
      </c>
      <c r="B20" s="2">
        <v>45741</v>
      </c>
      <c r="C20">
        <v>2025</v>
      </c>
      <c r="D20">
        <v>3</v>
      </c>
      <c r="E20" t="s">
        <v>135</v>
      </c>
      <c r="F20" t="s">
        <v>541</v>
      </c>
      <c r="G20" t="s">
        <v>61</v>
      </c>
      <c r="H20" t="s">
        <v>62</v>
      </c>
      <c r="I20" t="s">
        <v>63</v>
      </c>
      <c r="J20" t="s">
        <v>54</v>
      </c>
      <c r="K20" t="s">
        <v>55</v>
      </c>
      <c r="L20">
        <v>354.63</v>
      </c>
      <c r="M20" t="s">
        <v>45</v>
      </c>
      <c r="N20" t="s">
        <v>136</v>
      </c>
      <c r="O20" t="s">
        <v>57</v>
      </c>
      <c r="P20" t="s">
        <v>137</v>
      </c>
      <c r="Q20">
        <v>1</v>
      </c>
      <c r="R20">
        <v>300</v>
      </c>
      <c r="S20">
        <v>54.63</v>
      </c>
      <c r="T20">
        <v>0</v>
      </c>
      <c r="U20">
        <v>0</v>
      </c>
      <c r="V20" t="s">
        <v>48</v>
      </c>
      <c r="W20">
        <v>0</v>
      </c>
      <c r="X20">
        <v>0</v>
      </c>
      <c r="Y20" t="s">
        <v>67</v>
      </c>
      <c r="Z20" t="s">
        <v>32</v>
      </c>
    </row>
    <row r="21" spans="1:26" x14ac:dyDescent="0.35">
      <c r="A21" t="s">
        <v>138</v>
      </c>
      <c r="B21" s="2">
        <v>45790</v>
      </c>
      <c r="C21">
        <v>2025</v>
      </c>
      <c r="D21">
        <v>5</v>
      </c>
      <c r="E21" t="s">
        <v>113</v>
      </c>
      <c r="F21" t="s">
        <v>538</v>
      </c>
      <c r="G21" t="s">
        <v>52</v>
      </c>
      <c r="H21" t="s">
        <v>53</v>
      </c>
      <c r="I21" t="s">
        <v>42</v>
      </c>
      <c r="J21" t="s">
        <v>54</v>
      </c>
      <c r="K21" t="s">
        <v>87</v>
      </c>
      <c r="L21">
        <v>56.55</v>
      </c>
      <c r="M21" t="s">
        <v>45</v>
      </c>
      <c r="N21" t="s">
        <v>139</v>
      </c>
      <c r="O21" t="s">
        <v>100</v>
      </c>
      <c r="P21" t="s">
        <v>58</v>
      </c>
      <c r="Q21">
        <v>1</v>
      </c>
      <c r="R21">
        <v>50</v>
      </c>
      <c r="S21">
        <v>6.55</v>
      </c>
      <c r="T21">
        <v>0</v>
      </c>
      <c r="U21">
        <v>0</v>
      </c>
      <c r="V21" t="s">
        <v>48</v>
      </c>
      <c r="W21">
        <v>0</v>
      </c>
      <c r="X21">
        <v>0</v>
      </c>
      <c r="Y21" t="s">
        <v>67</v>
      </c>
      <c r="Z21" t="s">
        <v>32</v>
      </c>
    </row>
    <row r="22" spans="1:26" x14ac:dyDescent="0.35">
      <c r="A22" t="s">
        <v>140</v>
      </c>
      <c r="B22" s="2">
        <v>45834</v>
      </c>
      <c r="C22">
        <v>2025</v>
      </c>
      <c r="D22">
        <v>6</v>
      </c>
      <c r="E22" t="s">
        <v>83</v>
      </c>
      <c r="F22" t="s">
        <v>535</v>
      </c>
      <c r="G22" t="s">
        <v>141</v>
      </c>
      <c r="H22" t="s">
        <v>142</v>
      </c>
      <c r="I22" t="s">
        <v>71</v>
      </c>
      <c r="J22" t="s">
        <v>58</v>
      </c>
      <c r="K22" t="s">
        <v>64</v>
      </c>
      <c r="L22">
        <v>19.690000000000001</v>
      </c>
      <c r="M22" t="s">
        <v>45</v>
      </c>
      <c r="N22" t="s">
        <v>46</v>
      </c>
      <c r="O22" t="s">
        <v>47</v>
      </c>
      <c r="P22" t="s">
        <v>43</v>
      </c>
      <c r="Q22">
        <v>0</v>
      </c>
      <c r="R22">
        <v>30</v>
      </c>
      <c r="S22">
        <v>0</v>
      </c>
      <c r="T22">
        <v>1</v>
      </c>
      <c r="U22">
        <v>19.690000000000001</v>
      </c>
      <c r="V22" t="s">
        <v>33</v>
      </c>
      <c r="W22">
        <v>0</v>
      </c>
      <c r="X22">
        <v>0</v>
      </c>
      <c r="Y22" t="s">
        <v>67</v>
      </c>
      <c r="Z22" t="s">
        <v>33</v>
      </c>
    </row>
    <row r="23" spans="1:26" x14ac:dyDescent="0.35">
      <c r="A23" t="s">
        <v>143</v>
      </c>
      <c r="B23" s="2">
        <v>45773</v>
      </c>
      <c r="C23">
        <v>2025</v>
      </c>
      <c r="D23">
        <v>4</v>
      </c>
      <c r="E23" t="s">
        <v>77</v>
      </c>
      <c r="F23" t="s">
        <v>534</v>
      </c>
      <c r="G23" t="s">
        <v>69</v>
      </c>
      <c r="H23" t="s">
        <v>70</v>
      </c>
      <c r="I23" t="s">
        <v>71</v>
      </c>
      <c r="J23" t="s">
        <v>43</v>
      </c>
      <c r="K23" t="s">
        <v>108</v>
      </c>
      <c r="L23">
        <v>913.42</v>
      </c>
      <c r="M23" t="s">
        <v>45</v>
      </c>
      <c r="N23" t="s">
        <v>144</v>
      </c>
      <c r="O23" t="s">
        <v>66</v>
      </c>
      <c r="P23" t="s">
        <v>145</v>
      </c>
      <c r="Q23">
        <v>1</v>
      </c>
      <c r="R23">
        <v>800</v>
      </c>
      <c r="S23">
        <v>113.42</v>
      </c>
      <c r="T23">
        <v>0</v>
      </c>
      <c r="U23">
        <v>0</v>
      </c>
      <c r="V23" t="s">
        <v>48</v>
      </c>
      <c r="W23">
        <v>0</v>
      </c>
      <c r="X23">
        <v>0</v>
      </c>
      <c r="Y23" t="s">
        <v>67</v>
      </c>
      <c r="Z23" t="s">
        <v>32</v>
      </c>
    </row>
    <row r="24" spans="1:26" x14ac:dyDescent="0.35">
      <c r="A24" t="s">
        <v>146</v>
      </c>
      <c r="B24" s="2">
        <v>45971</v>
      </c>
      <c r="C24">
        <v>2025</v>
      </c>
      <c r="D24">
        <v>11</v>
      </c>
      <c r="E24" t="s">
        <v>132</v>
      </c>
      <c r="F24" t="s">
        <v>540</v>
      </c>
      <c r="G24" t="s">
        <v>147</v>
      </c>
      <c r="H24" t="s">
        <v>148</v>
      </c>
      <c r="I24" t="s">
        <v>93</v>
      </c>
      <c r="J24" t="s">
        <v>54</v>
      </c>
      <c r="K24" t="s">
        <v>81</v>
      </c>
      <c r="L24">
        <v>68.89</v>
      </c>
      <c r="M24" t="s">
        <v>73</v>
      </c>
      <c r="N24" t="s">
        <v>99</v>
      </c>
      <c r="O24" t="s">
        <v>100</v>
      </c>
      <c r="P24" t="s">
        <v>106</v>
      </c>
      <c r="Q24">
        <v>0</v>
      </c>
      <c r="R24">
        <v>75</v>
      </c>
      <c r="S24">
        <v>0</v>
      </c>
      <c r="T24">
        <v>0</v>
      </c>
      <c r="U24">
        <v>0</v>
      </c>
      <c r="V24" t="s">
        <v>48</v>
      </c>
      <c r="W24">
        <v>1</v>
      </c>
      <c r="X24">
        <v>68.89</v>
      </c>
      <c r="Y24" t="s">
        <v>67</v>
      </c>
      <c r="Z24" t="s">
        <v>73</v>
      </c>
    </row>
    <row r="25" spans="1:26" x14ac:dyDescent="0.35">
      <c r="A25" t="s">
        <v>149</v>
      </c>
      <c r="B25" s="2">
        <v>45782</v>
      </c>
      <c r="C25">
        <v>2025</v>
      </c>
      <c r="D25">
        <v>5</v>
      </c>
      <c r="E25" t="s">
        <v>113</v>
      </c>
      <c r="F25" t="s">
        <v>538</v>
      </c>
      <c r="G25" t="s">
        <v>150</v>
      </c>
      <c r="H25" t="s">
        <v>151</v>
      </c>
      <c r="I25" t="s">
        <v>86</v>
      </c>
      <c r="J25" t="s">
        <v>54</v>
      </c>
      <c r="K25" t="s">
        <v>55</v>
      </c>
      <c r="L25">
        <v>177.79</v>
      </c>
      <c r="M25" t="s">
        <v>45</v>
      </c>
      <c r="N25" t="s">
        <v>136</v>
      </c>
      <c r="O25" t="s">
        <v>57</v>
      </c>
      <c r="P25" t="s">
        <v>75</v>
      </c>
      <c r="Q25">
        <v>0</v>
      </c>
      <c r="R25">
        <v>300</v>
      </c>
      <c r="S25">
        <v>0</v>
      </c>
      <c r="T25">
        <v>1</v>
      </c>
      <c r="U25">
        <v>177.79</v>
      </c>
      <c r="V25" t="s">
        <v>33</v>
      </c>
      <c r="W25">
        <v>0</v>
      </c>
      <c r="X25">
        <v>0</v>
      </c>
      <c r="Y25" t="s">
        <v>67</v>
      </c>
      <c r="Z25" t="s">
        <v>33</v>
      </c>
    </row>
    <row r="26" spans="1:26" x14ac:dyDescent="0.35">
      <c r="A26" t="s">
        <v>152</v>
      </c>
      <c r="B26" s="2">
        <v>45908</v>
      </c>
      <c r="C26">
        <v>2025</v>
      </c>
      <c r="D26">
        <v>9</v>
      </c>
      <c r="E26" t="s">
        <v>121</v>
      </c>
      <c r="F26" t="s">
        <v>539</v>
      </c>
      <c r="G26" t="s">
        <v>84</v>
      </c>
      <c r="H26" t="s">
        <v>85</v>
      </c>
      <c r="I26" t="s">
        <v>86</v>
      </c>
      <c r="J26" t="s">
        <v>58</v>
      </c>
      <c r="K26" t="s">
        <v>87</v>
      </c>
      <c r="L26">
        <v>18.34</v>
      </c>
      <c r="M26" t="s">
        <v>45</v>
      </c>
      <c r="N26" t="s">
        <v>88</v>
      </c>
      <c r="O26" t="s">
        <v>66</v>
      </c>
      <c r="P26" t="s">
        <v>58</v>
      </c>
      <c r="Q26">
        <v>0</v>
      </c>
      <c r="R26">
        <v>50</v>
      </c>
      <c r="S26">
        <v>0</v>
      </c>
      <c r="T26">
        <v>1</v>
      </c>
      <c r="U26">
        <v>18.34</v>
      </c>
      <c r="V26" t="s">
        <v>33</v>
      </c>
      <c r="W26">
        <v>0</v>
      </c>
      <c r="X26">
        <v>0</v>
      </c>
      <c r="Y26" t="s">
        <v>67</v>
      </c>
      <c r="Z26" t="s">
        <v>33</v>
      </c>
    </row>
    <row r="27" spans="1:26" x14ac:dyDescent="0.35">
      <c r="A27" t="s">
        <v>153</v>
      </c>
      <c r="B27" s="2">
        <v>45798</v>
      </c>
      <c r="C27">
        <v>2025</v>
      </c>
      <c r="D27">
        <v>5</v>
      </c>
      <c r="E27" t="s">
        <v>113</v>
      </c>
      <c r="F27" t="s">
        <v>538</v>
      </c>
      <c r="G27" t="s">
        <v>61</v>
      </c>
      <c r="H27" t="s">
        <v>62</v>
      </c>
      <c r="I27" t="s">
        <v>63</v>
      </c>
      <c r="J27" t="s">
        <v>54</v>
      </c>
      <c r="K27" t="s">
        <v>72</v>
      </c>
      <c r="L27">
        <v>60.07</v>
      </c>
      <c r="M27" t="s">
        <v>45</v>
      </c>
      <c r="N27" t="s">
        <v>74</v>
      </c>
      <c r="O27" t="s">
        <v>66</v>
      </c>
      <c r="P27" t="s">
        <v>111</v>
      </c>
      <c r="Q27">
        <v>0</v>
      </c>
      <c r="R27">
        <v>75</v>
      </c>
      <c r="S27">
        <v>0</v>
      </c>
      <c r="T27">
        <v>0</v>
      </c>
      <c r="U27">
        <v>0</v>
      </c>
      <c r="V27" t="s">
        <v>48</v>
      </c>
      <c r="W27">
        <v>0</v>
      </c>
      <c r="X27">
        <v>0</v>
      </c>
      <c r="Y27" t="s">
        <v>49</v>
      </c>
      <c r="Z27" t="s">
        <v>49</v>
      </c>
    </row>
    <row r="28" spans="1:26" x14ac:dyDescent="0.35">
      <c r="A28" t="s">
        <v>154</v>
      </c>
      <c r="B28" s="2">
        <v>45730</v>
      </c>
      <c r="C28">
        <v>2025</v>
      </c>
      <c r="D28">
        <v>3</v>
      </c>
      <c r="E28" t="s">
        <v>135</v>
      </c>
      <c r="F28" t="s">
        <v>541</v>
      </c>
      <c r="G28" t="s">
        <v>118</v>
      </c>
      <c r="H28" t="s">
        <v>119</v>
      </c>
      <c r="I28" t="s">
        <v>42</v>
      </c>
      <c r="J28" t="s">
        <v>54</v>
      </c>
      <c r="K28" t="s">
        <v>55</v>
      </c>
      <c r="L28">
        <v>340.47</v>
      </c>
      <c r="M28" t="s">
        <v>45</v>
      </c>
      <c r="N28" t="s">
        <v>56</v>
      </c>
      <c r="O28" t="s">
        <v>57</v>
      </c>
      <c r="P28" t="s">
        <v>43</v>
      </c>
      <c r="Q28">
        <v>1</v>
      </c>
      <c r="R28">
        <v>300</v>
      </c>
      <c r="S28">
        <v>40.47</v>
      </c>
      <c r="T28">
        <v>0</v>
      </c>
      <c r="U28">
        <v>0</v>
      </c>
      <c r="V28" t="s">
        <v>48</v>
      </c>
      <c r="W28">
        <v>0</v>
      </c>
      <c r="X28">
        <v>0</v>
      </c>
      <c r="Y28" t="s">
        <v>67</v>
      </c>
      <c r="Z28" t="s">
        <v>32</v>
      </c>
    </row>
    <row r="29" spans="1:26" x14ac:dyDescent="0.35">
      <c r="A29" t="s">
        <v>155</v>
      </c>
      <c r="B29" s="2">
        <v>45754</v>
      </c>
      <c r="C29">
        <v>2025</v>
      </c>
      <c r="D29">
        <v>4</v>
      </c>
      <c r="E29" t="s">
        <v>77</v>
      </c>
      <c r="F29" t="s">
        <v>534</v>
      </c>
      <c r="G29" t="s">
        <v>127</v>
      </c>
      <c r="H29" t="s">
        <v>128</v>
      </c>
      <c r="I29" t="s">
        <v>63</v>
      </c>
      <c r="J29" t="s">
        <v>54</v>
      </c>
      <c r="K29" t="s">
        <v>81</v>
      </c>
      <c r="L29">
        <v>52.17</v>
      </c>
      <c r="M29" t="s">
        <v>45</v>
      </c>
      <c r="N29" t="s">
        <v>99</v>
      </c>
      <c r="O29" t="s">
        <v>100</v>
      </c>
      <c r="P29" t="s">
        <v>156</v>
      </c>
      <c r="Q29">
        <v>0</v>
      </c>
      <c r="R29">
        <v>75</v>
      </c>
      <c r="S29">
        <v>0</v>
      </c>
      <c r="T29">
        <v>1</v>
      </c>
      <c r="U29">
        <v>52.17</v>
      </c>
      <c r="V29" t="s">
        <v>33</v>
      </c>
      <c r="W29">
        <v>0</v>
      </c>
      <c r="X29">
        <v>0</v>
      </c>
      <c r="Y29" t="s">
        <v>67</v>
      </c>
      <c r="Z29" t="s">
        <v>33</v>
      </c>
    </row>
    <row r="30" spans="1:26" x14ac:dyDescent="0.35">
      <c r="A30" t="s">
        <v>157</v>
      </c>
      <c r="B30" s="2">
        <v>45755</v>
      </c>
      <c r="C30">
        <v>2025</v>
      </c>
      <c r="D30">
        <v>4</v>
      </c>
      <c r="E30" t="s">
        <v>77</v>
      </c>
      <c r="F30" t="s">
        <v>534</v>
      </c>
      <c r="G30" t="s">
        <v>118</v>
      </c>
      <c r="H30" t="s">
        <v>119</v>
      </c>
      <c r="I30" t="s">
        <v>42</v>
      </c>
      <c r="J30" t="s">
        <v>54</v>
      </c>
      <c r="K30" t="s">
        <v>108</v>
      </c>
      <c r="L30">
        <v>579.71</v>
      </c>
      <c r="M30" t="s">
        <v>73</v>
      </c>
      <c r="N30" t="s">
        <v>116</v>
      </c>
      <c r="O30" t="s">
        <v>57</v>
      </c>
      <c r="P30" t="s">
        <v>43</v>
      </c>
      <c r="Q30">
        <v>0</v>
      </c>
      <c r="R30">
        <v>800</v>
      </c>
      <c r="S30">
        <v>0</v>
      </c>
      <c r="T30">
        <v>1</v>
      </c>
      <c r="U30">
        <v>579.71</v>
      </c>
      <c r="V30" t="s">
        <v>33</v>
      </c>
      <c r="W30">
        <v>1</v>
      </c>
      <c r="X30">
        <v>579.71</v>
      </c>
      <c r="Y30" t="s">
        <v>67</v>
      </c>
      <c r="Z30" t="s">
        <v>101</v>
      </c>
    </row>
    <row r="31" spans="1:26" x14ac:dyDescent="0.35">
      <c r="A31" t="s">
        <v>158</v>
      </c>
      <c r="B31" s="2">
        <v>45999</v>
      </c>
      <c r="C31">
        <v>2025</v>
      </c>
      <c r="D31">
        <v>12</v>
      </c>
      <c r="E31" t="s">
        <v>103</v>
      </c>
      <c r="F31" t="s">
        <v>537</v>
      </c>
      <c r="G31" t="s">
        <v>84</v>
      </c>
      <c r="H31" t="s">
        <v>85</v>
      </c>
      <c r="I31" t="s">
        <v>86</v>
      </c>
      <c r="J31" t="s">
        <v>58</v>
      </c>
      <c r="K31" t="s">
        <v>87</v>
      </c>
      <c r="L31">
        <v>55</v>
      </c>
      <c r="M31" t="s">
        <v>45</v>
      </c>
      <c r="N31" t="s">
        <v>65</v>
      </c>
      <c r="O31" t="s">
        <v>66</v>
      </c>
      <c r="P31" t="s">
        <v>89</v>
      </c>
      <c r="Q31">
        <v>1</v>
      </c>
      <c r="R31">
        <v>50</v>
      </c>
      <c r="S31">
        <v>5</v>
      </c>
      <c r="T31">
        <v>0</v>
      </c>
      <c r="U31">
        <v>0</v>
      </c>
      <c r="V31" t="s">
        <v>48</v>
      </c>
      <c r="W31">
        <v>0</v>
      </c>
      <c r="X31">
        <v>0</v>
      </c>
      <c r="Y31" t="s">
        <v>67</v>
      </c>
      <c r="Z31" t="s">
        <v>32</v>
      </c>
    </row>
    <row r="32" spans="1:26" x14ac:dyDescent="0.35">
      <c r="A32" t="s">
        <v>159</v>
      </c>
      <c r="B32" s="2">
        <v>45896</v>
      </c>
      <c r="C32">
        <v>2025</v>
      </c>
      <c r="D32">
        <v>8</v>
      </c>
      <c r="E32" t="s">
        <v>96</v>
      </c>
      <c r="F32" t="s">
        <v>536</v>
      </c>
      <c r="G32" t="s">
        <v>114</v>
      </c>
      <c r="H32" t="s">
        <v>115</v>
      </c>
      <c r="I32" t="s">
        <v>42</v>
      </c>
      <c r="J32" t="s">
        <v>54</v>
      </c>
      <c r="K32" t="s">
        <v>81</v>
      </c>
      <c r="L32">
        <v>29.45</v>
      </c>
      <c r="M32" t="s">
        <v>45</v>
      </c>
      <c r="N32" t="s">
        <v>160</v>
      </c>
      <c r="O32" t="s">
        <v>105</v>
      </c>
      <c r="P32" t="s">
        <v>58</v>
      </c>
      <c r="Q32">
        <v>0</v>
      </c>
      <c r="R32">
        <v>75</v>
      </c>
      <c r="S32">
        <v>0</v>
      </c>
      <c r="T32">
        <v>0</v>
      </c>
      <c r="U32">
        <v>0</v>
      </c>
      <c r="V32" t="s">
        <v>48</v>
      </c>
      <c r="W32">
        <v>0</v>
      </c>
      <c r="X32">
        <v>0</v>
      </c>
      <c r="Y32" t="s">
        <v>49</v>
      </c>
      <c r="Z32" t="s">
        <v>49</v>
      </c>
    </row>
    <row r="33" spans="1:26" x14ac:dyDescent="0.35">
      <c r="A33" t="s">
        <v>161</v>
      </c>
      <c r="B33" s="2">
        <v>45987</v>
      </c>
      <c r="C33">
        <v>2025</v>
      </c>
      <c r="D33">
        <v>11</v>
      </c>
      <c r="E33" t="s">
        <v>132</v>
      </c>
      <c r="F33" t="s">
        <v>540</v>
      </c>
      <c r="G33" t="s">
        <v>162</v>
      </c>
      <c r="H33" t="s">
        <v>163</v>
      </c>
      <c r="I33" t="s">
        <v>63</v>
      </c>
      <c r="J33" t="s">
        <v>58</v>
      </c>
      <c r="K33" t="s">
        <v>108</v>
      </c>
      <c r="L33">
        <v>571.91</v>
      </c>
      <c r="M33" t="s">
        <v>73</v>
      </c>
      <c r="N33" t="s">
        <v>109</v>
      </c>
      <c r="O33" t="s">
        <v>110</v>
      </c>
      <c r="P33" t="s">
        <v>43</v>
      </c>
      <c r="Q33">
        <v>0</v>
      </c>
      <c r="R33">
        <v>800</v>
      </c>
      <c r="S33">
        <v>0</v>
      </c>
      <c r="T33">
        <v>0</v>
      </c>
      <c r="U33">
        <v>0</v>
      </c>
      <c r="V33" t="s">
        <v>48</v>
      </c>
      <c r="W33">
        <v>1</v>
      </c>
      <c r="X33">
        <v>571.91</v>
      </c>
      <c r="Y33" t="s">
        <v>67</v>
      </c>
      <c r="Z33" t="s">
        <v>73</v>
      </c>
    </row>
    <row r="34" spans="1:26" x14ac:dyDescent="0.35">
      <c r="A34" t="s">
        <v>164</v>
      </c>
      <c r="B34" s="2">
        <v>45735</v>
      </c>
      <c r="C34">
        <v>2025</v>
      </c>
      <c r="D34">
        <v>3</v>
      </c>
      <c r="E34" t="s">
        <v>135</v>
      </c>
      <c r="F34" t="s">
        <v>541</v>
      </c>
      <c r="G34" t="s">
        <v>165</v>
      </c>
      <c r="H34" t="s">
        <v>166</v>
      </c>
      <c r="I34" t="s">
        <v>42</v>
      </c>
      <c r="J34" t="s">
        <v>58</v>
      </c>
      <c r="K34" t="s">
        <v>87</v>
      </c>
      <c r="L34">
        <v>22.62</v>
      </c>
      <c r="M34" t="s">
        <v>73</v>
      </c>
      <c r="N34" t="s">
        <v>46</v>
      </c>
      <c r="O34" t="s">
        <v>47</v>
      </c>
      <c r="P34" t="s">
        <v>167</v>
      </c>
      <c r="Q34">
        <v>0</v>
      </c>
      <c r="R34">
        <v>50</v>
      </c>
      <c r="S34">
        <v>0</v>
      </c>
      <c r="T34">
        <v>0</v>
      </c>
      <c r="U34">
        <v>0</v>
      </c>
      <c r="V34" t="s">
        <v>48</v>
      </c>
      <c r="W34">
        <v>1</v>
      </c>
      <c r="X34">
        <v>22.62</v>
      </c>
      <c r="Y34" t="s">
        <v>67</v>
      </c>
      <c r="Z34" t="s">
        <v>73</v>
      </c>
    </row>
    <row r="35" spans="1:26" x14ac:dyDescent="0.35">
      <c r="A35" t="s">
        <v>168</v>
      </c>
      <c r="B35" s="2">
        <v>45674</v>
      </c>
      <c r="C35">
        <v>2025</v>
      </c>
      <c r="D35">
        <v>1</v>
      </c>
      <c r="E35" t="s">
        <v>169</v>
      </c>
      <c r="F35" t="s">
        <v>542</v>
      </c>
      <c r="G35" t="s">
        <v>170</v>
      </c>
      <c r="H35" t="s">
        <v>171</v>
      </c>
      <c r="I35" t="s">
        <v>80</v>
      </c>
      <c r="J35" t="s">
        <v>54</v>
      </c>
      <c r="K35" t="s">
        <v>108</v>
      </c>
      <c r="L35">
        <v>318.76</v>
      </c>
      <c r="M35" t="s">
        <v>45</v>
      </c>
      <c r="N35" t="s">
        <v>116</v>
      </c>
      <c r="O35" t="s">
        <v>57</v>
      </c>
      <c r="P35" t="s">
        <v>137</v>
      </c>
      <c r="Q35">
        <v>0</v>
      </c>
      <c r="R35">
        <v>800</v>
      </c>
      <c r="S35">
        <v>0</v>
      </c>
      <c r="T35">
        <v>0</v>
      </c>
      <c r="U35">
        <v>0</v>
      </c>
      <c r="V35" t="s">
        <v>48</v>
      </c>
      <c r="W35">
        <v>0</v>
      </c>
      <c r="X35">
        <v>0</v>
      </c>
      <c r="Y35" t="s">
        <v>49</v>
      </c>
      <c r="Z35" t="s">
        <v>49</v>
      </c>
    </row>
    <row r="36" spans="1:26" x14ac:dyDescent="0.35">
      <c r="A36" t="s">
        <v>172</v>
      </c>
      <c r="B36" s="2">
        <v>45786</v>
      </c>
      <c r="C36">
        <v>2025</v>
      </c>
      <c r="D36">
        <v>5</v>
      </c>
      <c r="E36" t="s">
        <v>113</v>
      </c>
      <c r="F36" t="s">
        <v>538</v>
      </c>
      <c r="G36" t="s">
        <v>173</v>
      </c>
      <c r="H36" t="s">
        <v>174</v>
      </c>
      <c r="I36" t="s">
        <v>93</v>
      </c>
      <c r="J36" t="s">
        <v>43</v>
      </c>
      <c r="K36" t="s">
        <v>55</v>
      </c>
      <c r="L36">
        <v>374.61</v>
      </c>
      <c r="M36" t="s">
        <v>45</v>
      </c>
      <c r="N36" t="s">
        <v>175</v>
      </c>
      <c r="O36" t="s">
        <v>57</v>
      </c>
      <c r="P36" t="s">
        <v>137</v>
      </c>
      <c r="Q36">
        <v>1</v>
      </c>
      <c r="R36">
        <v>300</v>
      </c>
      <c r="S36">
        <v>74.61</v>
      </c>
      <c r="T36">
        <v>0</v>
      </c>
      <c r="U36">
        <v>0</v>
      </c>
      <c r="V36" t="s">
        <v>48</v>
      </c>
      <c r="W36">
        <v>0</v>
      </c>
      <c r="X36">
        <v>0</v>
      </c>
      <c r="Y36" t="s">
        <v>67</v>
      </c>
      <c r="Z36" t="s">
        <v>32</v>
      </c>
    </row>
    <row r="37" spans="1:26" x14ac:dyDescent="0.35">
      <c r="A37" t="s">
        <v>176</v>
      </c>
      <c r="B37" s="2">
        <v>45817</v>
      </c>
      <c r="C37">
        <v>2025</v>
      </c>
      <c r="D37">
        <v>6</v>
      </c>
      <c r="E37" t="s">
        <v>83</v>
      </c>
      <c r="F37" t="s">
        <v>535</v>
      </c>
      <c r="G37" t="s">
        <v>124</v>
      </c>
      <c r="H37" t="s">
        <v>125</v>
      </c>
      <c r="I37" t="s">
        <v>86</v>
      </c>
      <c r="J37" t="s">
        <v>43</v>
      </c>
      <c r="K37" t="s">
        <v>108</v>
      </c>
      <c r="L37">
        <v>853.4</v>
      </c>
      <c r="M37" t="s">
        <v>45</v>
      </c>
      <c r="N37" t="s">
        <v>144</v>
      </c>
      <c r="O37" t="s">
        <v>66</v>
      </c>
      <c r="P37" t="s">
        <v>177</v>
      </c>
      <c r="Q37">
        <v>1</v>
      </c>
      <c r="R37">
        <v>800</v>
      </c>
      <c r="S37">
        <v>53.4</v>
      </c>
      <c r="T37">
        <v>0</v>
      </c>
      <c r="U37">
        <v>0</v>
      </c>
      <c r="V37" t="s">
        <v>48</v>
      </c>
      <c r="W37">
        <v>0</v>
      </c>
      <c r="X37">
        <v>0</v>
      </c>
      <c r="Y37" t="s">
        <v>67</v>
      </c>
      <c r="Z37" t="s">
        <v>32</v>
      </c>
    </row>
    <row r="38" spans="1:26" x14ac:dyDescent="0.35">
      <c r="A38" t="s">
        <v>178</v>
      </c>
      <c r="B38" s="2">
        <v>45812</v>
      </c>
      <c r="C38">
        <v>2025</v>
      </c>
      <c r="D38">
        <v>6</v>
      </c>
      <c r="E38" t="s">
        <v>83</v>
      </c>
      <c r="F38" t="s">
        <v>535</v>
      </c>
      <c r="G38" t="s">
        <v>91</v>
      </c>
      <c r="H38" t="s">
        <v>92</v>
      </c>
      <c r="I38" t="s">
        <v>93</v>
      </c>
      <c r="J38" t="s">
        <v>54</v>
      </c>
      <c r="K38" t="s">
        <v>108</v>
      </c>
      <c r="L38">
        <v>535.42999999999995</v>
      </c>
      <c r="M38" t="s">
        <v>45</v>
      </c>
      <c r="N38" t="s">
        <v>109</v>
      </c>
      <c r="O38" t="s">
        <v>110</v>
      </c>
      <c r="P38" t="s">
        <v>156</v>
      </c>
      <c r="Q38">
        <v>0</v>
      </c>
      <c r="R38">
        <v>800</v>
      </c>
      <c r="S38">
        <v>0</v>
      </c>
      <c r="T38">
        <v>0</v>
      </c>
      <c r="U38">
        <v>0</v>
      </c>
      <c r="V38" t="s">
        <v>48</v>
      </c>
      <c r="W38">
        <v>0</v>
      </c>
      <c r="X38">
        <v>0</v>
      </c>
      <c r="Y38" t="s">
        <v>49</v>
      </c>
      <c r="Z38" t="s">
        <v>49</v>
      </c>
    </row>
    <row r="39" spans="1:26" x14ac:dyDescent="0.35">
      <c r="A39" t="s">
        <v>179</v>
      </c>
      <c r="B39" s="2">
        <v>45729</v>
      </c>
      <c r="C39">
        <v>2025</v>
      </c>
      <c r="D39">
        <v>3</v>
      </c>
      <c r="E39" t="s">
        <v>135</v>
      </c>
      <c r="F39" t="s">
        <v>541</v>
      </c>
      <c r="G39" t="s">
        <v>180</v>
      </c>
      <c r="H39" t="s">
        <v>181</v>
      </c>
      <c r="I39" t="s">
        <v>63</v>
      </c>
      <c r="J39" t="s">
        <v>54</v>
      </c>
      <c r="K39" t="s">
        <v>72</v>
      </c>
      <c r="L39">
        <v>22.47</v>
      </c>
      <c r="M39" t="s">
        <v>45</v>
      </c>
      <c r="N39" t="s">
        <v>182</v>
      </c>
      <c r="O39" t="s">
        <v>47</v>
      </c>
      <c r="P39" t="s">
        <v>94</v>
      </c>
      <c r="Q39">
        <v>0</v>
      </c>
      <c r="R39">
        <v>75</v>
      </c>
      <c r="S39">
        <v>0</v>
      </c>
      <c r="T39">
        <v>1</v>
      </c>
      <c r="U39">
        <v>22.47</v>
      </c>
      <c r="V39" t="s">
        <v>33</v>
      </c>
      <c r="W39">
        <v>0</v>
      </c>
      <c r="X39">
        <v>0</v>
      </c>
      <c r="Y39" t="s">
        <v>67</v>
      </c>
      <c r="Z39" t="s">
        <v>33</v>
      </c>
    </row>
    <row r="40" spans="1:26" x14ac:dyDescent="0.35">
      <c r="A40" t="s">
        <v>183</v>
      </c>
      <c r="B40" s="2">
        <v>45828</v>
      </c>
      <c r="C40">
        <v>2025</v>
      </c>
      <c r="D40">
        <v>6</v>
      </c>
      <c r="E40" t="s">
        <v>83</v>
      </c>
      <c r="F40" t="s">
        <v>535</v>
      </c>
      <c r="G40" t="s">
        <v>184</v>
      </c>
      <c r="H40" t="s">
        <v>185</v>
      </c>
      <c r="I40" t="s">
        <v>93</v>
      </c>
      <c r="J40" t="s">
        <v>43</v>
      </c>
      <c r="K40" t="s">
        <v>87</v>
      </c>
      <c r="L40">
        <v>30.74</v>
      </c>
      <c r="M40" t="s">
        <v>45</v>
      </c>
      <c r="N40" t="s">
        <v>139</v>
      </c>
      <c r="O40" t="s">
        <v>100</v>
      </c>
      <c r="P40" t="s">
        <v>54</v>
      </c>
      <c r="Q40">
        <v>0</v>
      </c>
      <c r="R40">
        <v>50</v>
      </c>
      <c r="S40">
        <v>0</v>
      </c>
      <c r="T40">
        <v>0</v>
      </c>
      <c r="U40">
        <v>0</v>
      </c>
      <c r="V40" t="s">
        <v>48</v>
      </c>
      <c r="W40">
        <v>0</v>
      </c>
      <c r="X40">
        <v>0</v>
      </c>
      <c r="Y40" t="s">
        <v>49</v>
      </c>
      <c r="Z40" t="s">
        <v>49</v>
      </c>
    </row>
    <row r="41" spans="1:26" x14ac:dyDescent="0.35">
      <c r="A41" t="s">
        <v>186</v>
      </c>
      <c r="B41" s="2">
        <v>45912</v>
      </c>
      <c r="C41">
        <v>2025</v>
      </c>
      <c r="D41">
        <v>9</v>
      </c>
      <c r="E41" t="s">
        <v>121</v>
      </c>
      <c r="F41" t="s">
        <v>539</v>
      </c>
      <c r="G41" t="s">
        <v>61</v>
      </c>
      <c r="H41" t="s">
        <v>62</v>
      </c>
      <c r="I41" t="s">
        <v>63</v>
      </c>
      <c r="J41" t="s">
        <v>54</v>
      </c>
      <c r="K41" t="s">
        <v>81</v>
      </c>
      <c r="L41">
        <v>60.47</v>
      </c>
      <c r="M41" t="s">
        <v>45</v>
      </c>
      <c r="N41" t="s">
        <v>187</v>
      </c>
      <c r="O41" t="s">
        <v>110</v>
      </c>
      <c r="P41" t="s">
        <v>58</v>
      </c>
      <c r="Q41">
        <v>0</v>
      </c>
      <c r="R41">
        <v>75</v>
      </c>
      <c r="S41">
        <v>0</v>
      </c>
      <c r="T41">
        <v>0</v>
      </c>
      <c r="U41">
        <v>0</v>
      </c>
      <c r="V41" t="s">
        <v>48</v>
      </c>
      <c r="W41">
        <v>0</v>
      </c>
      <c r="X41">
        <v>0</v>
      </c>
      <c r="Y41" t="s">
        <v>49</v>
      </c>
      <c r="Z41" t="s">
        <v>49</v>
      </c>
    </row>
    <row r="42" spans="1:26" x14ac:dyDescent="0.35">
      <c r="A42" t="s">
        <v>188</v>
      </c>
      <c r="B42" s="2">
        <v>45896</v>
      </c>
      <c r="C42">
        <v>2025</v>
      </c>
      <c r="D42">
        <v>8</v>
      </c>
      <c r="E42" t="s">
        <v>96</v>
      </c>
      <c r="F42" t="s">
        <v>536</v>
      </c>
      <c r="G42" t="s">
        <v>189</v>
      </c>
      <c r="H42" t="s">
        <v>190</v>
      </c>
      <c r="I42" t="s">
        <v>93</v>
      </c>
      <c r="J42" t="s">
        <v>54</v>
      </c>
      <c r="K42" t="s">
        <v>81</v>
      </c>
      <c r="L42">
        <v>58.11</v>
      </c>
      <c r="M42" t="s">
        <v>45</v>
      </c>
      <c r="N42" t="s">
        <v>191</v>
      </c>
      <c r="O42" t="s">
        <v>100</v>
      </c>
      <c r="P42" t="s">
        <v>137</v>
      </c>
      <c r="Q42">
        <v>0</v>
      </c>
      <c r="R42">
        <v>75</v>
      </c>
      <c r="S42">
        <v>0</v>
      </c>
      <c r="T42">
        <v>0</v>
      </c>
      <c r="U42">
        <v>0</v>
      </c>
      <c r="V42" t="s">
        <v>48</v>
      </c>
      <c r="W42">
        <v>0</v>
      </c>
      <c r="X42">
        <v>0</v>
      </c>
      <c r="Y42" t="s">
        <v>49</v>
      </c>
      <c r="Z42" t="s">
        <v>49</v>
      </c>
    </row>
    <row r="43" spans="1:26" x14ac:dyDescent="0.35">
      <c r="A43" t="s">
        <v>192</v>
      </c>
      <c r="B43" s="2">
        <v>45952</v>
      </c>
      <c r="C43">
        <v>2025</v>
      </c>
      <c r="D43">
        <v>10</v>
      </c>
      <c r="E43" t="s">
        <v>39</v>
      </c>
      <c r="F43" t="s">
        <v>531</v>
      </c>
      <c r="G43" t="s">
        <v>170</v>
      </c>
      <c r="H43" t="s">
        <v>171</v>
      </c>
      <c r="I43" t="s">
        <v>80</v>
      </c>
      <c r="J43" t="s">
        <v>54</v>
      </c>
      <c r="K43" t="s">
        <v>64</v>
      </c>
      <c r="L43">
        <v>16.079999999999998</v>
      </c>
      <c r="M43" t="s">
        <v>45</v>
      </c>
      <c r="N43" t="s">
        <v>136</v>
      </c>
      <c r="O43" t="s">
        <v>57</v>
      </c>
      <c r="P43" t="s">
        <v>54</v>
      </c>
      <c r="Q43">
        <v>0</v>
      </c>
      <c r="R43">
        <v>30</v>
      </c>
      <c r="S43">
        <v>0</v>
      </c>
      <c r="T43">
        <v>0</v>
      </c>
      <c r="U43">
        <v>0</v>
      </c>
      <c r="V43" t="s">
        <v>48</v>
      </c>
      <c r="W43">
        <v>0</v>
      </c>
      <c r="X43">
        <v>0</v>
      </c>
      <c r="Y43" t="s">
        <v>49</v>
      </c>
      <c r="Z43" t="s">
        <v>49</v>
      </c>
    </row>
    <row r="44" spans="1:26" x14ac:dyDescent="0.35">
      <c r="A44" t="s">
        <v>193</v>
      </c>
      <c r="B44" s="2">
        <v>45845</v>
      </c>
      <c r="C44">
        <v>2025</v>
      </c>
      <c r="D44">
        <v>7</v>
      </c>
      <c r="E44" t="s">
        <v>60</v>
      </c>
      <c r="F44" t="s">
        <v>533</v>
      </c>
      <c r="G44" t="s">
        <v>147</v>
      </c>
      <c r="H44" t="s">
        <v>148</v>
      </c>
      <c r="I44" t="s">
        <v>93</v>
      </c>
      <c r="J44" t="s">
        <v>54</v>
      </c>
      <c r="K44" t="s">
        <v>44</v>
      </c>
      <c r="L44">
        <v>173.53</v>
      </c>
      <c r="M44" t="s">
        <v>45</v>
      </c>
      <c r="N44" t="s">
        <v>116</v>
      </c>
      <c r="O44" t="s">
        <v>57</v>
      </c>
      <c r="P44" t="s">
        <v>54</v>
      </c>
      <c r="Q44">
        <v>1</v>
      </c>
      <c r="R44">
        <v>150</v>
      </c>
      <c r="S44">
        <v>23.53</v>
      </c>
      <c r="T44">
        <v>0</v>
      </c>
      <c r="U44">
        <v>0</v>
      </c>
      <c r="V44" t="s">
        <v>48</v>
      </c>
      <c r="W44">
        <v>0</v>
      </c>
      <c r="X44">
        <v>0</v>
      </c>
      <c r="Y44" t="s">
        <v>67</v>
      </c>
      <c r="Z44" t="s">
        <v>32</v>
      </c>
    </row>
    <row r="45" spans="1:26" x14ac:dyDescent="0.35">
      <c r="A45" t="s">
        <v>194</v>
      </c>
      <c r="B45" s="2">
        <v>45870</v>
      </c>
      <c r="C45">
        <v>2025</v>
      </c>
      <c r="D45">
        <v>8</v>
      </c>
      <c r="E45" t="s">
        <v>96</v>
      </c>
      <c r="F45" t="s">
        <v>536</v>
      </c>
      <c r="G45" t="s">
        <v>195</v>
      </c>
      <c r="H45" t="s">
        <v>196</v>
      </c>
      <c r="I45" t="s">
        <v>71</v>
      </c>
      <c r="J45" t="s">
        <v>54</v>
      </c>
      <c r="K45" t="s">
        <v>108</v>
      </c>
      <c r="L45">
        <v>654.77</v>
      </c>
      <c r="M45" t="s">
        <v>45</v>
      </c>
      <c r="N45" t="s">
        <v>116</v>
      </c>
      <c r="O45" t="s">
        <v>57</v>
      </c>
      <c r="P45" t="s">
        <v>137</v>
      </c>
      <c r="Q45">
        <v>0</v>
      </c>
      <c r="R45">
        <v>800</v>
      </c>
      <c r="S45">
        <v>0</v>
      </c>
      <c r="T45">
        <v>1</v>
      </c>
      <c r="U45">
        <v>654.77</v>
      </c>
      <c r="V45" t="s">
        <v>33</v>
      </c>
      <c r="W45">
        <v>0</v>
      </c>
      <c r="X45">
        <v>0</v>
      </c>
      <c r="Y45" t="s">
        <v>67</v>
      </c>
      <c r="Z45" t="s">
        <v>33</v>
      </c>
    </row>
    <row r="46" spans="1:26" x14ac:dyDescent="0.35">
      <c r="A46" t="s">
        <v>197</v>
      </c>
      <c r="B46" s="2">
        <v>46001</v>
      </c>
      <c r="C46">
        <v>2025</v>
      </c>
      <c r="D46">
        <v>12</v>
      </c>
      <c r="E46" t="s">
        <v>103</v>
      </c>
      <c r="F46" t="s">
        <v>537</v>
      </c>
      <c r="G46" t="s">
        <v>198</v>
      </c>
      <c r="H46" t="s">
        <v>199</v>
      </c>
      <c r="I46" t="s">
        <v>71</v>
      </c>
      <c r="J46" t="s">
        <v>54</v>
      </c>
      <c r="K46" t="s">
        <v>87</v>
      </c>
      <c r="L46">
        <v>33.1</v>
      </c>
      <c r="M46" t="s">
        <v>45</v>
      </c>
      <c r="N46" t="s">
        <v>136</v>
      </c>
      <c r="O46" t="s">
        <v>57</v>
      </c>
      <c r="P46" t="s">
        <v>43</v>
      </c>
      <c r="Q46">
        <v>0</v>
      </c>
      <c r="R46">
        <v>50</v>
      </c>
      <c r="S46">
        <v>0</v>
      </c>
      <c r="T46">
        <v>0</v>
      </c>
      <c r="U46">
        <v>0</v>
      </c>
      <c r="V46" t="s">
        <v>48</v>
      </c>
      <c r="W46">
        <v>0</v>
      </c>
      <c r="X46">
        <v>0</v>
      </c>
      <c r="Y46" t="s">
        <v>49</v>
      </c>
      <c r="Z46" t="s">
        <v>49</v>
      </c>
    </row>
    <row r="47" spans="1:26" x14ac:dyDescent="0.35">
      <c r="A47" t="s">
        <v>200</v>
      </c>
      <c r="B47" s="2">
        <v>45716</v>
      </c>
      <c r="C47">
        <v>2025</v>
      </c>
      <c r="D47">
        <v>2</v>
      </c>
      <c r="E47" t="s">
        <v>51</v>
      </c>
      <c r="F47" t="s">
        <v>532</v>
      </c>
      <c r="G47" t="s">
        <v>147</v>
      </c>
      <c r="H47" t="s">
        <v>148</v>
      </c>
      <c r="I47" t="s">
        <v>93</v>
      </c>
      <c r="J47" t="s">
        <v>54</v>
      </c>
      <c r="K47" t="s">
        <v>108</v>
      </c>
      <c r="L47">
        <v>443.25</v>
      </c>
      <c r="M47" t="s">
        <v>45</v>
      </c>
      <c r="N47" t="s">
        <v>46</v>
      </c>
      <c r="O47" t="s">
        <v>47</v>
      </c>
      <c r="P47" t="s">
        <v>75</v>
      </c>
      <c r="Q47">
        <v>0</v>
      </c>
      <c r="R47">
        <v>800</v>
      </c>
      <c r="S47">
        <v>0</v>
      </c>
      <c r="T47">
        <v>0</v>
      </c>
      <c r="U47">
        <v>0</v>
      </c>
      <c r="V47" t="s">
        <v>48</v>
      </c>
      <c r="W47">
        <v>0</v>
      </c>
      <c r="X47">
        <v>0</v>
      </c>
      <c r="Y47" t="s">
        <v>49</v>
      </c>
      <c r="Z47" t="s">
        <v>49</v>
      </c>
    </row>
    <row r="48" spans="1:26" x14ac:dyDescent="0.35">
      <c r="A48" t="s">
        <v>201</v>
      </c>
      <c r="B48" s="2">
        <v>45791</v>
      </c>
      <c r="C48">
        <v>2025</v>
      </c>
      <c r="D48">
        <v>5</v>
      </c>
      <c r="E48" t="s">
        <v>113</v>
      </c>
      <c r="F48" t="s">
        <v>538</v>
      </c>
      <c r="G48" t="s">
        <v>61</v>
      </c>
      <c r="H48" t="s">
        <v>62</v>
      </c>
      <c r="I48" t="s">
        <v>63</v>
      </c>
      <c r="J48" t="s">
        <v>54</v>
      </c>
      <c r="K48" t="s">
        <v>87</v>
      </c>
      <c r="L48">
        <v>56.97</v>
      </c>
      <c r="M48" t="s">
        <v>45</v>
      </c>
      <c r="N48" t="s">
        <v>109</v>
      </c>
      <c r="O48" t="s">
        <v>110</v>
      </c>
      <c r="P48" t="s">
        <v>137</v>
      </c>
      <c r="Q48">
        <v>1</v>
      </c>
      <c r="R48">
        <v>50</v>
      </c>
      <c r="S48">
        <v>6.97</v>
      </c>
      <c r="T48">
        <v>0</v>
      </c>
      <c r="U48">
        <v>0</v>
      </c>
      <c r="V48" t="s">
        <v>48</v>
      </c>
      <c r="W48">
        <v>0</v>
      </c>
      <c r="X48">
        <v>0</v>
      </c>
      <c r="Y48" t="s">
        <v>67</v>
      </c>
      <c r="Z48" t="s">
        <v>32</v>
      </c>
    </row>
    <row r="49" spans="1:26" x14ac:dyDescent="0.35">
      <c r="A49" t="s">
        <v>202</v>
      </c>
      <c r="B49" s="2">
        <v>45681</v>
      </c>
      <c r="C49">
        <v>2025</v>
      </c>
      <c r="D49">
        <v>1</v>
      </c>
      <c r="E49" t="s">
        <v>169</v>
      </c>
      <c r="F49" t="s">
        <v>542</v>
      </c>
      <c r="G49" t="s">
        <v>61</v>
      </c>
      <c r="H49" t="s">
        <v>62</v>
      </c>
      <c r="I49" t="s">
        <v>63</v>
      </c>
      <c r="J49" t="s">
        <v>54</v>
      </c>
      <c r="K49" t="s">
        <v>72</v>
      </c>
      <c r="L49">
        <v>33.74</v>
      </c>
      <c r="M49" t="s">
        <v>45</v>
      </c>
      <c r="N49" t="s">
        <v>203</v>
      </c>
      <c r="O49" t="s">
        <v>47</v>
      </c>
      <c r="P49" t="s">
        <v>54</v>
      </c>
      <c r="Q49">
        <v>0</v>
      </c>
      <c r="R49">
        <v>75</v>
      </c>
      <c r="S49">
        <v>0</v>
      </c>
      <c r="T49">
        <v>0</v>
      </c>
      <c r="U49">
        <v>0</v>
      </c>
      <c r="V49" t="s">
        <v>48</v>
      </c>
      <c r="W49">
        <v>0</v>
      </c>
      <c r="X49">
        <v>0</v>
      </c>
      <c r="Y49" t="s">
        <v>49</v>
      </c>
      <c r="Z49" t="s">
        <v>49</v>
      </c>
    </row>
    <row r="50" spans="1:26" x14ac:dyDescent="0.35">
      <c r="A50" t="s">
        <v>204</v>
      </c>
      <c r="B50" s="2">
        <v>45929</v>
      </c>
      <c r="C50">
        <v>2025</v>
      </c>
      <c r="D50">
        <v>9</v>
      </c>
      <c r="E50" t="s">
        <v>121</v>
      </c>
      <c r="F50" t="s">
        <v>539</v>
      </c>
      <c r="G50" t="s">
        <v>97</v>
      </c>
      <c r="H50" t="s">
        <v>98</v>
      </c>
      <c r="I50" t="s">
        <v>93</v>
      </c>
      <c r="J50" t="s">
        <v>54</v>
      </c>
      <c r="K50" t="s">
        <v>55</v>
      </c>
      <c r="L50">
        <v>282.31</v>
      </c>
      <c r="M50" t="s">
        <v>45</v>
      </c>
      <c r="N50" t="s">
        <v>116</v>
      </c>
      <c r="O50" t="s">
        <v>57</v>
      </c>
      <c r="P50" t="s">
        <v>111</v>
      </c>
      <c r="Q50">
        <v>0</v>
      </c>
      <c r="R50">
        <v>300</v>
      </c>
      <c r="S50">
        <v>0</v>
      </c>
      <c r="T50">
        <v>0</v>
      </c>
      <c r="U50">
        <v>0</v>
      </c>
      <c r="V50" t="s">
        <v>48</v>
      </c>
      <c r="W50">
        <v>0</v>
      </c>
      <c r="X50">
        <v>0</v>
      </c>
      <c r="Y50" t="s">
        <v>49</v>
      </c>
      <c r="Z50" t="s">
        <v>49</v>
      </c>
    </row>
    <row r="51" spans="1:26" x14ac:dyDescent="0.35">
      <c r="A51" t="s">
        <v>205</v>
      </c>
      <c r="B51" s="2">
        <v>45822</v>
      </c>
      <c r="C51">
        <v>2025</v>
      </c>
      <c r="D51">
        <v>6</v>
      </c>
      <c r="E51" t="s">
        <v>83</v>
      </c>
      <c r="F51" t="s">
        <v>535</v>
      </c>
      <c r="G51" t="s">
        <v>61</v>
      </c>
      <c r="H51" t="s">
        <v>62</v>
      </c>
      <c r="I51" t="s">
        <v>63</v>
      </c>
      <c r="J51" t="s">
        <v>54</v>
      </c>
      <c r="K51" t="s">
        <v>72</v>
      </c>
      <c r="L51">
        <v>56.7</v>
      </c>
      <c r="M51" t="s">
        <v>73</v>
      </c>
      <c r="N51" t="s">
        <v>65</v>
      </c>
      <c r="O51" t="s">
        <v>66</v>
      </c>
      <c r="P51" t="s">
        <v>75</v>
      </c>
      <c r="Q51">
        <v>0</v>
      </c>
      <c r="R51">
        <v>75</v>
      </c>
      <c r="S51">
        <v>0</v>
      </c>
      <c r="T51">
        <v>0</v>
      </c>
      <c r="U51">
        <v>0</v>
      </c>
      <c r="V51" t="s">
        <v>48</v>
      </c>
      <c r="W51">
        <v>1</v>
      </c>
      <c r="X51">
        <v>56.7</v>
      </c>
      <c r="Y51" t="s">
        <v>67</v>
      </c>
      <c r="Z51" t="s">
        <v>73</v>
      </c>
    </row>
    <row r="52" spans="1:26" x14ac:dyDescent="0.35">
      <c r="A52" t="s">
        <v>206</v>
      </c>
      <c r="B52" s="2">
        <v>45968</v>
      </c>
      <c r="C52">
        <v>2025</v>
      </c>
      <c r="D52">
        <v>11</v>
      </c>
      <c r="E52" t="s">
        <v>132</v>
      </c>
      <c r="F52" t="s">
        <v>540</v>
      </c>
      <c r="G52" t="s">
        <v>207</v>
      </c>
      <c r="H52" t="s">
        <v>208</v>
      </c>
      <c r="I52" t="s">
        <v>63</v>
      </c>
      <c r="J52" t="s">
        <v>43</v>
      </c>
      <c r="K52" t="s">
        <v>44</v>
      </c>
      <c r="L52">
        <v>71.73</v>
      </c>
      <c r="M52" t="s">
        <v>45</v>
      </c>
      <c r="N52" t="s">
        <v>104</v>
      </c>
      <c r="O52" t="s">
        <v>105</v>
      </c>
      <c r="P52" t="s">
        <v>209</v>
      </c>
      <c r="Q52">
        <v>0</v>
      </c>
      <c r="R52">
        <v>150</v>
      </c>
      <c r="S52">
        <v>0</v>
      </c>
      <c r="T52">
        <v>0</v>
      </c>
      <c r="U52">
        <v>0</v>
      </c>
      <c r="V52" t="s">
        <v>48</v>
      </c>
      <c r="W52">
        <v>0</v>
      </c>
      <c r="X52">
        <v>0</v>
      </c>
      <c r="Y52" t="s">
        <v>49</v>
      </c>
      <c r="Z52" t="s">
        <v>49</v>
      </c>
    </row>
    <row r="53" spans="1:26" x14ac:dyDescent="0.35">
      <c r="A53" t="s">
        <v>210</v>
      </c>
      <c r="B53" s="2">
        <v>45968</v>
      </c>
      <c r="C53">
        <v>2025</v>
      </c>
      <c r="D53">
        <v>11</v>
      </c>
      <c r="E53" t="s">
        <v>132</v>
      </c>
      <c r="F53" t="s">
        <v>540</v>
      </c>
      <c r="G53" t="s">
        <v>184</v>
      </c>
      <c r="H53" t="s">
        <v>185</v>
      </c>
      <c r="I53" t="s">
        <v>93</v>
      </c>
      <c r="J53" t="s">
        <v>43</v>
      </c>
      <c r="K53" t="s">
        <v>108</v>
      </c>
      <c r="L53">
        <v>563.78</v>
      </c>
      <c r="M53" t="s">
        <v>45</v>
      </c>
      <c r="N53" t="s">
        <v>46</v>
      </c>
      <c r="O53" t="s">
        <v>47</v>
      </c>
      <c r="P53" t="s">
        <v>137</v>
      </c>
      <c r="Q53">
        <v>0</v>
      </c>
      <c r="R53">
        <v>800</v>
      </c>
      <c r="S53">
        <v>0</v>
      </c>
      <c r="T53">
        <v>0</v>
      </c>
      <c r="U53">
        <v>0</v>
      </c>
      <c r="V53" t="s">
        <v>48</v>
      </c>
      <c r="W53">
        <v>0</v>
      </c>
      <c r="X53">
        <v>0</v>
      </c>
      <c r="Y53" t="s">
        <v>49</v>
      </c>
      <c r="Z53" t="s">
        <v>49</v>
      </c>
    </row>
    <row r="54" spans="1:26" x14ac:dyDescent="0.35">
      <c r="A54" t="s">
        <v>211</v>
      </c>
      <c r="B54" s="2">
        <v>45995</v>
      </c>
      <c r="C54">
        <v>2025</v>
      </c>
      <c r="D54">
        <v>12</v>
      </c>
      <c r="E54" t="s">
        <v>103</v>
      </c>
      <c r="F54" t="s">
        <v>537</v>
      </c>
      <c r="G54" t="s">
        <v>147</v>
      </c>
      <c r="H54" t="s">
        <v>148</v>
      </c>
      <c r="I54" t="s">
        <v>93</v>
      </c>
      <c r="J54" t="s">
        <v>54</v>
      </c>
      <c r="K54" t="s">
        <v>87</v>
      </c>
      <c r="L54">
        <v>38.549999999999997</v>
      </c>
      <c r="M54" t="s">
        <v>73</v>
      </c>
      <c r="N54" t="s">
        <v>122</v>
      </c>
      <c r="O54" t="s">
        <v>100</v>
      </c>
      <c r="P54" t="s">
        <v>137</v>
      </c>
      <c r="Q54">
        <v>0</v>
      </c>
      <c r="R54">
        <v>50</v>
      </c>
      <c r="S54">
        <v>0</v>
      </c>
      <c r="T54">
        <v>0</v>
      </c>
      <c r="U54">
        <v>0</v>
      </c>
      <c r="V54" t="s">
        <v>48</v>
      </c>
      <c r="W54">
        <v>1</v>
      </c>
      <c r="X54">
        <v>38.549999999999997</v>
      </c>
      <c r="Y54" t="s">
        <v>67</v>
      </c>
      <c r="Z54" t="s">
        <v>73</v>
      </c>
    </row>
    <row r="55" spans="1:26" x14ac:dyDescent="0.35">
      <c r="A55" t="s">
        <v>212</v>
      </c>
      <c r="B55" s="2">
        <v>46001</v>
      </c>
      <c r="C55">
        <v>2025</v>
      </c>
      <c r="D55">
        <v>12</v>
      </c>
      <c r="E55" t="s">
        <v>103</v>
      </c>
      <c r="F55" t="s">
        <v>537</v>
      </c>
      <c r="G55" t="s">
        <v>118</v>
      </c>
      <c r="H55" t="s">
        <v>119</v>
      </c>
      <c r="I55" t="s">
        <v>42</v>
      </c>
      <c r="J55" t="s">
        <v>54</v>
      </c>
      <c r="K55" t="s">
        <v>81</v>
      </c>
      <c r="L55">
        <v>30.02</v>
      </c>
      <c r="M55" t="s">
        <v>73</v>
      </c>
      <c r="N55" t="s">
        <v>99</v>
      </c>
      <c r="O55" t="s">
        <v>100</v>
      </c>
      <c r="P55" t="s">
        <v>156</v>
      </c>
      <c r="Q55">
        <v>0</v>
      </c>
      <c r="R55">
        <v>75</v>
      </c>
      <c r="S55">
        <v>0</v>
      </c>
      <c r="T55">
        <v>0</v>
      </c>
      <c r="U55">
        <v>0</v>
      </c>
      <c r="V55" t="s">
        <v>48</v>
      </c>
      <c r="W55">
        <v>1</v>
      </c>
      <c r="X55">
        <v>30.02</v>
      </c>
      <c r="Y55" t="s">
        <v>67</v>
      </c>
      <c r="Z55" t="s">
        <v>73</v>
      </c>
    </row>
    <row r="56" spans="1:26" x14ac:dyDescent="0.35">
      <c r="A56" t="s">
        <v>213</v>
      </c>
      <c r="B56" s="2">
        <v>45687</v>
      </c>
      <c r="C56">
        <v>2025</v>
      </c>
      <c r="D56">
        <v>1</v>
      </c>
      <c r="E56" t="s">
        <v>169</v>
      </c>
      <c r="F56" t="s">
        <v>542</v>
      </c>
      <c r="G56" t="s">
        <v>214</v>
      </c>
      <c r="H56" t="s">
        <v>215</v>
      </c>
      <c r="I56" t="s">
        <v>86</v>
      </c>
      <c r="J56" t="s">
        <v>43</v>
      </c>
      <c r="K56" t="s">
        <v>108</v>
      </c>
      <c r="L56">
        <v>405.04</v>
      </c>
      <c r="M56" t="s">
        <v>73</v>
      </c>
      <c r="N56" t="s">
        <v>216</v>
      </c>
      <c r="O56" t="s">
        <v>66</v>
      </c>
      <c r="P56" t="s">
        <v>145</v>
      </c>
      <c r="Q56">
        <v>0</v>
      </c>
      <c r="R56">
        <v>800</v>
      </c>
      <c r="S56">
        <v>0</v>
      </c>
      <c r="T56">
        <v>0</v>
      </c>
      <c r="U56">
        <v>0</v>
      </c>
      <c r="V56" t="s">
        <v>48</v>
      </c>
      <c r="W56">
        <v>1</v>
      </c>
      <c r="X56">
        <v>405.04</v>
      </c>
      <c r="Y56" t="s">
        <v>67</v>
      </c>
      <c r="Z56" t="s">
        <v>73</v>
      </c>
    </row>
    <row r="57" spans="1:26" x14ac:dyDescent="0.35">
      <c r="A57" t="s">
        <v>217</v>
      </c>
      <c r="B57" s="2">
        <v>45891</v>
      </c>
      <c r="C57">
        <v>2025</v>
      </c>
      <c r="D57">
        <v>8</v>
      </c>
      <c r="E57" t="s">
        <v>96</v>
      </c>
      <c r="F57" t="s">
        <v>536</v>
      </c>
      <c r="G57" t="s">
        <v>218</v>
      </c>
      <c r="H57" t="s">
        <v>219</v>
      </c>
      <c r="I57" t="s">
        <v>86</v>
      </c>
      <c r="J57" t="s">
        <v>58</v>
      </c>
      <c r="K57" t="s">
        <v>55</v>
      </c>
      <c r="L57">
        <v>338.51</v>
      </c>
      <c r="M57" t="s">
        <v>73</v>
      </c>
      <c r="N57" t="s">
        <v>136</v>
      </c>
      <c r="O57" t="s">
        <v>57</v>
      </c>
      <c r="P57" t="s">
        <v>89</v>
      </c>
      <c r="Q57">
        <v>1</v>
      </c>
      <c r="R57">
        <v>300</v>
      </c>
      <c r="S57">
        <v>38.51</v>
      </c>
      <c r="T57">
        <v>0</v>
      </c>
      <c r="U57">
        <v>0</v>
      </c>
      <c r="V57" t="s">
        <v>48</v>
      </c>
      <c r="W57">
        <v>1</v>
      </c>
      <c r="X57">
        <v>338.51</v>
      </c>
      <c r="Y57" t="s">
        <v>67</v>
      </c>
      <c r="Z57" t="s">
        <v>220</v>
      </c>
    </row>
    <row r="58" spans="1:26" x14ac:dyDescent="0.35">
      <c r="A58" t="s">
        <v>221</v>
      </c>
      <c r="B58" s="2">
        <v>45978</v>
      </c>
      <c r="C58">
        <v>2025</v>
      </c>
      <c r="D58">
        <v>11</v>
      </c>
      <c r="E58" t="s">
        <v>132</v>
      </c>
      <c r="F58" t="s">
        <v>540</v>
      </c>
      <c r="G58" t="s">
        <v>61</v>
      </c>
      <c r="H58" t="s">
        <v>62</v>
      </c>
      <c r="I58" t="s">
        <v>63</v>
      </c>
      <c r="J58" t="s">
        <v>54</v>
      </c>
      <c r="K58" t="s">
        <v>55</v>
      </c>
      <c r="L58">
        <v>141.4</v>
      </c>
      <c r="M58" t="s">
        <v>45</v>
      </c>
      <c r="N58" t="s">
        <v>46</v>
      </c>
      <c r="O58" t="s">
        <v>47</v>
      </c>
      <c r="P58" t="s">
        <v>137</v>
      </c>
      <c r="Q58">
        <v>0</v>
      </c>
      <c r="R58">
        <v>300</v>
      </c>
      <c r="S58">
        <v>0</v>
      </c>
      <c r="T58">
        <v>0</v>
      </c>
      <c r="U58">
        <v>0</v>
      </c>
      <c r="V58" t="s">
        <v>48</v>
      </c>
      <c r="W58">
        <v>0</v>
      </c>
      <c r="X58">
        <v>0</v>
      </c>
      <c r="Y58" t="s">
        <v>49</v>
      </c>
      <c r="Z58" t="s">
        <v>49</v>
      </c>
    </row>
    <row r="59" spans="1:26" x14ac:dyDescent="0.35">
      <c r="A59" t="s">
        <v>222</v>
      </c>
      <c r="B59" s="2">
        <v>45875</v>
      </c>
      <c r="C59">
        <v>2025</v>
      </c>
      <c r="D59">
        <v>8</v>
      </c>
      <c r="E59" t="s">
        <v>96</v>
      </c>
      <c r="F59" t="s">
        <v>536</v>
      </c>
      <c r="G59" t="s">
        <v>162</v>
      </c>
      <c r="H59" t="s">
        <v>163</v>
      </c>
      <c r="I59" t="s">
        <v>63</v>
      </c>
      <c r="J59" t="s">
        <v>58</v>
      </c>
      <c r="K59" t="s">
        <v>81</v>
      </c>
      <c r="L59">
        <v>43.19</v>
      </c>
      <c r="M59" t="s">
        <v>45</v>
      </c>
      <c r="N59" t="s">
        <v>46</v>
      </c>
      <c r="O59" t="s">
        <v>47</v>
      </c>
      <c r="P59" t="s">
        <v>223</v>
      </c>
      <c r="Q59">
        <v>0</v>
      </c>
      <c r="R59">
        <v>75</v>
      </c>
      <c r="S59">
        <v>0</v>
      </c>
      <c r="T59">
        <v>0</v>
      </c>
      <c r="U59">
        <v>0</v>
      </c>
      <c r="V59" t="s">
        <v>48</v>
      </c>
      <c r="W59">
        <v>0</v>
      </c>
      <c r="X59">
        <v>0</v>
      </c>
      <c r="Y59" t="s">
        <v>49</v>
      </c>
      <c r="Z59" t="s">
        <v>49</v>
      </c>
    </row>
    <row r="60" spans="1:26" x14ac:dyDescent="0.35">
      <c r="A60" t="s">
        <v>224</v>
      </c>
      <c r="B60" s="2">
        <v>46003</v>
      </c>
      <c r="C60">
        <v>2025</v>
      </c>
      <c r="D60">
        <v>12</v>
      </c>
      <c r="E60" t="s">
        <v>103</v>
      </c>
      <c r="F60" t="s">
        <v>537</v>
      </c>
      <c r="G60" t="s">
        <v>184</v>
      </c>
      <c r="H60" t="s">
        <v>185</v>
      </c>
      <c r="I60" t="s">
        <v>93</v>
      </c>
      <c r="J60" t="s">
        <v>43</v>
      </c>
      <c r="K60" t="s">
        <v>44</v>
      </c>
      <c r="L60">
        <v>45.4</v>
      </c>
      <c r="M60" t="s">
        <v>73</v>
      </c>
      <c r="N60" t="s">
        <v>46</v>
      </c>
      <c r="O60" t="s">
        <v>47</v>
      </c>
      <c r="P60" t="s">
        <v>145</v>
      </c>
      <c r="Q60">
        <v>0</v>
      </c>
      <c r="R60">
        <v>150</v>
      </c>
      <c r="S60">
        <v>0</v>
      </c>
      <c r="T60">
        <v>0</v>
      </c>
      <c r="U60">
        <v>0</v>
      </c>
      <c r="V60" t="s">
        <v>48</v>
      </c>
      <c r="W60">
        <v>1</v>
      </c>
      <c r="X60">
        <v>45.4</v>
      </c>
      <c r="Y60" t="s">
        <v>67</v>
      </c>
      <c r="Z60" t="s">
        <v>73</v>
      </c>
    </row>
    <row r="61" spans="1:26" x14ac:dyDescent="0.35">
      <c r="A61" t="s">
        <v>225</v>
      </c>
      <c r="B61" s="2">
        <v>45954</v>
      </c>
      <c r="C61">
        <v>2025</v>
      </c>
      <c r="D61">
        <v>10</v>
      </c>
      <c r="E61" t="s">
        <v>39</v>
      </c>
      <c r="F61" t="s">
        <v>531</v>
      </c>
      <c r="G61" t="s">
        <v>214</v>
      </c>
      <c r="H61" t="s">
        <v>215</v>
      </c>
      <c r="I61" t="s">
        <v>86</v>
      </c>
      <c r="J61" t="s">
        <v>43</v>
      </c>
      <c r="K61" t="s">
        <v>81</v>
      </c>
      <c r="L61">
        <v>67.89</v>
      </c>
      <c r="M61" t="s">
        <v>73</v>
      </c>
      <c r="N61" t="s">
        <v>226</v>
      </c>
      <c r="O61" t="s">
        <v>66</v>
      </c>
      <c r="P61" t="s">
        <v>75</v>
      </c>
      <c r="Q61">
        <v>0</v>
      </c>
      <c r="R61">
        <v>75</v>
      </c>
      <c r="S61">
        <v>0</v>
      </c>
      <c r="T61">
        <v>0</v>
      </c>
      <c r="U61">
        <v>0</v>
      </c>
      <c r="V61" t="s">
        <v>48</v>
      </c>
      <c r="W61">
        <v>1</v>
      </c>
      <c r="X61">
        <v>67.89</v>
      </c>
      <c r="Y61" t="s">
        <v>67</v>
      </c>
      <c r="Z61" t="s">
        <v>73</v>
      </c>
    </row>
    <row r="62" spans="1:26" x14ac:dyDescent="0.35">
      <c r="A62" t="s">
        <v>227</v>
      </c>
      <c r="B62" s="2">
        <v>45894</v>
      </c>
      <c r="C62">
        <v>2025</v>
      </c>
      <c r="D62">
        <v>8</v>
      </c>
      <c r="E62" t="s">
        <v>96</v>
      </c>
      <c r="F62" t="s">
        <v>536</v>
      </c>
      <c r="G62" t="s">
        <v>207</v>
      </c>
      <c r="H62" t="s">
        <v>208</v>
      </c>
      <c r="I62" t="s">
        <v>63</v>
      </c>
      <c r="J62" t="s">
        <v>43</v>
      </c>
      <c r="K62" t="s">
        <v>64</v>
      </c>
      <c r="L62">
        <v>20.9</v>
      </c>
      <c r="M62" t="s">
        <v>45</v>
      </c>
      <c r="N62" t="s">
        <v>228</v>
      </c>
      <c r="O62" t="s">
        <v>47</v>
      </c>
      <c r="P62" t="s">
        <v>54</v>
      </c>
      <c r="Q62">
        <v>0</v>
      </c>
      <c r="R62">
        <v>30</v>
      </c>
      <c r="S62">
        <v>0</v>
      </c>
      <c r="T62">
        <v>1</v>
      </c>
      <c r="U62">
        <v>20.9</v>
      </c>
      <c r="V62" t="s">
        <v>33</v>
      </c>
      <c r="W62">
        <v>0</v>
      </c>
      <c r="X62">
        <v>0</v>
      </c>
      <c r="Y62" t="s">
        <v>67</v>
      </c>
      <c r="Z62" t="s">
        <v>33</v>
      </c>
    </row>
    <row r="63" spans="1:26" x14ac:dyDescent="0.35">
      <c r="A63" t="s">
        <v>229</v>
      </c>
      <c r="B63" s="2">
        <v>45909</v>
      </c>
      <c r="C63">
        <v>2025</v>
      </c>
      <c r="D63">
        <v>9</v>
      </c>
      <c r="E63" t="s">
        <v>121</v>
      </c>
      <c r="F63" t="s">
        <v>539</v>
      </c>
      <c r="G63" t="s">
        <v>61</v>
      </c>
      <c r="H63" t="s">
        <v>62</v>
      </c>
      <c r="I63" t="s">
        <v>63</v>
      </c>
      <c r="J63" t="s">
        <v>54</v>
      </c>
      <c r="K63" t="s">
        <v>72</v>
      </c>
      <c r="L63">
        <v>31.28</v>
      </c>
      <c r="M63" t="s">
        <v>45</v>
      </c>
      <c r="N63" t="s">
        <v>74</v>
      </c>
      <c r="O63" t="s">
        <v>66</v>
      </c>
      <c r="P63" t="s">
        <v>137</v>
      </c>
      <c r="Q63">
        <v>0</v>
      </c>
      <c r="R63">
        <v>75</v>
      </c>
      <c r="S63">
        <v>0</v>
      </c>
      <c r="T63">
        <v>0</v>
      </c>
      <c r="U63">
        <v>0</v>
      </c>
      <c r="V63" t="s">
        <v>48</v>
      </c>
      <c r="W63">
        <v>0</v>
      </c>
      <c r="X63">
        <v>0</v>
      </c>
      <c r="Y63" t="s">
        <v>49</v>
      </c>
      <c r="Z63" t="s">
        <v>49</v>
      </c>
    </row>
    <row r="64" spans="1:26" x14ac:dyDescent="0.35">
      <c r="A64" t="s">
        <v>230</v>
      </c>
      <c r="B64" s="2">
        <v>45737</v>
      </c>
      <c r="C64">
        <v>2025</v>
      </c>
      <c r="D64">
        <v>3</v>
      </c>
      <c r="E64" t="s">
        <v>135</v>
      </c>
      <c r="F64" t="s">
        <v>541</v>
      </c>
      <c r="G64" t="s">
        <v>184</v>
      </c>
      <c r="H64" t="s">
        <v>185</v>
      </c>
      <c r="I64" t="s">
        <v>93</v>
      </c>
      <c r="J64" t="s">
        <v>43</v>
      </c>
      <c r="K64" t="s">
        <v>81</v>
      </c>
      <c r="L64">
        <v>80.650000000000006</v>
      </c>
      <c r="M64" t="s">
        <v>45</v>
      </c>
      <c r="N64" t="s">
        <v>231</v>
      </c>
      <c r="O64" t="s">
        <v>57</v>
      </c>
      <c r="P64" t="s">
        <v>177</v>
      </c>
      <c r="Q64">
        <v>1</v>
      </c>
      <c r="R64">
        <v>75</v>
      </c>
      <c r="S64">
        <v>5.65</v>
      </c>
      <c r="T64">
        <v>0</v>
      </c>
      <c r="U64">
        <v>0</v>
      </c>
      <c r="V64" t="s">
        <v>48</v>
      </c>
      <c r="W64">
        <v>0</v>
      </c>
      <c r="X64">
        <v>0</v>
      </c>
      <c r="Y64" t="s">
        <v>67</v>
      </c>
      <c r="Z64" t="s">
        <v>32</v>
      </c>
    </row>
    <row r="65" spans="1:26" x14ac:dyDescent="0.35">
      <c r="A65" t="s">
        <v>232</v>
      </c>
      <c r="B65" s="2">
        <v>45735</v>
      </c>
      <c r="C65">
        <v>2025</v>
      </c>
      <c r="D65">
        <v>3</v>
      </c>
      <c r="E65" t="s">
        <v>135</v>
      </c>
      <c r="F65" t="s">
        <v>541</v>
      </c>
      <c r="G65" t="s">
        <v>173</v>
      </c>
      <c r="H65" t="s">
        <v>174</v>
      </c>
      <c r="I65" t="s">
        <v>93</v>
      </c>
      <c r="J65" t="s">
        <v>43</v>
      </c>
      <c r="K65" t="s">
        <v>87</v>
      </c>
      <c r="L65">
        <v>18.12</v>
      </c>
      <c r="M65" t="s">
        <v>45</v>
      </c>
      <c r="N65" t="s">
        <v>122</v>
      </c>
      <c r="O65" t="s">
        <v>100</v>
      </c>
      <c r="P65" t="s">
        <v>137</v>
      </c>
      <c r="Q65">
        <v>0</v>
      </c>
      <c r="R65">
        <v>50</v>
      </c>
      <c r="S65">
        <v>0</v>
      </c>
      <c r="T65">
        <v>1</v>
      </c>
      <c r="U65">
        <v>18.12</v>
      </c>
      <c r="V65" t="s">
        <v>33</v>
      </c>
      <c r="W65">
        <v>0</v>
      </c>
      <c r="X65">
        <v>0</v>
      </c>
      <c r="Y65" t="s">
        <v>67</v>
      </c>
      <c r="Z65" t="s">
        <v>33</v>
      </c>
    </row>
    <row r="66" spans="1:26" x14ac:dyDescent="0.35">
      <c r="A66" t="s">
        <v>233</v>
      </c>
      <c r="B66" s="2">
        <v>45870</v>
      </c>
      <c r="C66">
        <v>2025</v>
      </c>
      <c r="D66">
        <v>8</v>
      </c>
      <c r="E66" t="s">
        <v>96</v>
      </c>
      <c r="F66" t="s">
        <v>536</v>
      </c>
      <c r="G66" t="s">
        <v>141</v>
      </c>
      <c r="H66" t="s">
        <v>142</v>
      </c>
      <c r="I66" t="s">
        <v>71</v>
      </c>
      <c r="J66" t="s">
        <v>58</v>
      </c>
      <c r="K66" t="s">
        <v>44</v>
      </c>
      <c r="L66">
        <v>173.25</v>
      </c>
      <c r="M66" t="s">
        <v>73</v>
      </c>
      <c r="N66" t="s">
        <v>109</v>
      </c>
      <c r="O66" t="s">
        <v>110</v>
      </c>
      <c r="P66" t="s">
        <v>167</v>
      </c>
      <c r="Q66">
        <v>1</v>
      </c>
      <c r="R66">
        <v>150</v>
      </c>
      <c r="S66">
        <v>23.25</v>
      </c>
      <c r="T66">
        <v>0</v>
      </c>
      <c r="U66">
        <v>0</v>
      </c>
      <c r="V66" t="s">
        <v>48</v>
      </c>
      <c r="W66">
        <v>1</v>
      </c>
      <c r="X66">
        <v>173.25</v>
      </c>
      <c r="Y66" t="s">
        <v>67</v>
      </c>
      <c r="Z66" t="s">
        <v>220</v>
      </c>
    </row>
    <row r="67" spans="1:26" x14ac:dyDescent="0.35">
      <c r="A67" t="s">
        <v>234</v>
      </c>
      <c r="B67" s="2">
        <v>45713</v>
      </c>
      <c r="C67">
        <v>2025</v>
      </c>
      <c r="D67">
        <v>2</v>
      </c>
      <c r="E67" t="s">
        <v>51</v>
      </c>
      <c r="F67" t="s">
        <v>532</v>
      </c>
      <c r="G67" t="s">
        <v>162</v>
      </c>
      <c r="H67" t="s">
        <v>163</v>
      </c>
      <c r="I67" t="s">
        <v>63</v>
      </c>
      <c r="J67" t="s">
        <v>58</v>
      </c>
      <c r="K67" t="s">
        <v>81</v>
      </c>
      <c r="L67">
        <v>88.99</v>
      </c>
      <c r="M67" t="s">
        <v>45</v>
      </c>
      <c r="N67" t="s">
        <v>226</v>
      </c>
      <c r="O67" t="s">
        <v>66</v>
      </c>
      <c r="P67" t="s">
        <v>167</v>
      </c>
      <c r="Q67">
        <v>1</v>
      </c>
      <c r="R67">
        <v>75</v>
      </c>
      <c r="S67">
        <v>13.99</v>
      </c>
      <c r="T67">
        <v>0</v>
      </c>
      <c r="U67">
        <v>0</v>
      </c>
      <c r="V67" t="s">
        <v>48</v>
      </c>
      <c r="W67">
        <v>0</v>
      </c>
      <c r="X67">
        <v>0</v>
      </c>
      <c r="Y67" t="s">
        <v>67</v>
      </c>
      <c r="Z67" t="s">
        <v>32</v>
      </c>
    </row>
    <row r="68" spans="1:26" x14ac:dyDescent="0.35">
      <c r="A68" t="s">
        <v>235</v>
      </c>
      <c r="B68" s="2">
        <v>45805</v>
      </c>
      <c r="C68">
        <v>2025</v>
      </c>
      <c r="D68">
        <v>5</v>
      </c>
      <c r="E68" t="s">
        <v>113</v>
      </c>
      <c r="F68" t="s">
        <v>538</v>
      </c>
      <c r="G68" t="s">
        <v>61</v>
      </c>
      <c r="H68" t="s">
        <v>62</v>
      </c>
      <c r="I68" t="s">
        <v>63</v>
      </c>
      <c r="J68" t="s">
        <v>54</v>
      </c>
      <c r="K68" t="s">
        <v>108</v>
      </c>
      <c r="L68">
        <v>388</v>
      </c>
      <c r="M68" t="s">
        <v>45</v>
      </c>
      <c r="N68" t="s">
        <v>136</v>
      </c>
      <c r="O68" t="s">
        <v>57</v>
      </c>
      <c r="P68" t="s">
        <v>75</v>
      </c>
      <c r="Q68">
        <v>0</v>
      </c>
      <c r="R68">
        <v>800</v>
      </c>
      <c r="S68">
        <v>0</v>
      </c>
      <c r="T68">
        <v>0</v>
      </c>
      <c r="U68">
        <v>0</v>
      </c>
      <c r="V68" t="s">
        <v>48</v>
      </c>
      <c r="W68">
        <v>0</v>
      </c>
      <c r="X68">
        <v>0</v>
      </c>
      <c r="Y68" t="s">
        <v>49</v>
      </c>
      <c r="Z68" t="s">
        <v>49</v>
      </c>
    </row>
    <row r="69" spans="1:26" x14ac:dyDescent="0.35">
      <c r="A69" t="s">
        <v>236</v>
      </c>
      <c r="B69" s="2">
        <v>45957</v>
      </c>
      <c r="C69">
        <v>2025</v>
      </c>
      <c r="D69">
        <v>10</v>
      </c>
      <c r="E69" t="s">
        <v>39</v>
      </c>
      <c r="F69" t="s">
        <v>531</v>
      </c>
      <c r="G69" t="s">
        <v>237</v>
      </c>
      <c r="H69" t="s">
        <v>238</v>
      </c>
      <c r="I69" t="s">
        <v>93</v>
      </c>
      <c r="J69" t="s">
        <v>58</v>
      </c>
      <c r="K69" t="s">
        <v>55</v>
      </c>
      <c r="L69">
        <v>122.21</v>
      </c>
      <c r="M69" t="s">
        <v>45</v>
      </c>
      <c r="N69" t="s">
        <v>116</v>
      </c>
      <c r="O69" t="s">
        <v>57</v>
      </c>
      <c r="P69" t="s">
        <v>239</v>
      </c>
      <c r="Q69">
        <v>0</v>
      </c>
      <c r="R69">
        <v>300</v>
      </c>
      <c r="S69">
        <v>0</v>
      </c>
      <c r="T69">
        <v>1</v>
      </c>
      <c r="U69">
        <v>122.21</v>
      </c>
      <c r="V69" t="s">
        <v>33</v>
      </c>
      <c r="W69">
        <v>0</v>
      </c>
      <c r="X69">
        <v>0</v>
      </c>
      <c r="Y69" t="s">
        <v>67</v>
      </c>
      <c r="Z69" t="s">
        <v>33</v>
      </c>
    </row>
    <row r="70" spans="1:26" x14ac:dyDescent="0.35">
      <c r="A70" t="s">
        <v>240</v>
      </c>
      <c r="B70" s="2">
        <v>45943</v>
      </c>
      <c r="C70">
        <v>2025</v>
      </c>
      <c r="D70">
        <v>10</v>
      </c>
      <c r="E70" t="s">
        <v>39</v>
      </c>
      <c r="F70" t="s">
        <v>531</v>
      </c>
      <c r="G70" t="s">
        <v>241</v>
      </c>
      <c r="H70" t="s">
        <v>242</v>
      </c>
      <c r="I70" t="s">
        <v>63</v>
      </c>
      <c r="J70" t="s">
        <v>54</v>
      </c>
      <c r="K70" t="s">
        <v>72</v>
      </c>
      <c r="L70">
        <v>49.24</v>
      </c>
      <c r="M70" t="s">
        <v>45</v>
      </c>
      <c r="N70" t="s">
        <v>203</v>
      </c>
      <c r="O70" t="s">
        <v>47</v>
      </c>
      <c r="P70" t="s">
        <v>94</v>
      </c>
      <c r="Q70">
        <v>0</v>
      </c>
      <c r="R70">
        <v>75</v>
      </c>
      <c r="S70">
        <v>0</v>
      </c>
      <c r="T70">
        <v>0</v>
      </c>
      <c r="U70">
        <v>0</v>
      </c>
      <c r="V70" t="s">
        <v>48</v>
      </c>
      <c r="W70">
        <v>0</v>
      </c>
      <c r="X70">
        <v>0</v>
      </c>
      <c r="Y70" t="s">
        <v>49</v>
      </c>
      <c r="Z70" t="s">
        <v>49</v>
      </c>
    </row>
    <row r="71" spans="1:26" x14ac:dyDescent="0.35">
      <c r="A71" t="s">
        <v>243</v>
      </c>
      <c r="B71" s="2">
        <v>45903</v>
      </c>
      <c r="C71">
        <v>2025</v>
      </c>
      <c r="D71">
        <v>9</v>
      </c>
      <c r="E71" t="s">
        <v>121</v>
      </c>
      <c r="F71" t="s">
        <v>539</v>
      </c>
      <c r="G71" t="s">
        <v>244</v>
      </c>
      <c r="H71" t="s">
        <v>245</v>
      </c>
      <c r="I71" t="s">
        <v>63</v>
      </c>
      <c r="J71" t="s">
        <v>43</v>
      </c>
      <c r="K71" t="s">
        <v>81</v>
      </c>
      <c r="L71">
        <v>54.18</v>
      </c>
      <c r="M71" t="s">
        <v>45</v>
      </c>
      <c r="N71" t="s">
        <v>246</v>
      </c>
      <c r="O71" t="s">
        <v>105</v>
      </c>
      <c r="P71" t="s">
        <v>43</v>
      </c>
      <c r="Q71">
        <v>0</v>
      </c>
      <c r="R71">
        <v>75</v>
      </c>
      <c r="S71">
        <v>0</v>
      </c>
      <c r="T71">
        <v>0</v>
      </c>
      <c r="U71">
        <v>0</v>
      </c>
      <c r="V71" t="s">
        <v>48</v>
      </c>
      <c r="W71">
        <v>0</v>
      </c>
      <c r="X71">
        <v>0</v>
      </c>
      <c r="Y71" t="s">
        <v>49</v>
      </c>
      <c r="Z71" t="s">
        <v>49</v>
      </c>
    </row>
    <row r="72" spans="1:26" x14ac:dyDescent="0.35">
      <c r="A72" t="s">
        <v>247</v>
      </c>
      <c r="B72" s="2">
        <v>45786</v>
      </c>
      <c r="C72">
        <v>2025</v>
      </c>
      <c r="D72">
        <v>5</v>
      </c>
      <c r="E72" t="s">
        <v>113</v>
      </c>
      <c r="F72" t="s">
        <v>538</v>
      </c>
      <c r="G72" t="s">
        <v>248</v>
      </c>
      <c r="H72" t="s">
        <v>249</v>
      </c>
      <c r="I72" t="s">
        <v>63</v>
      </c>
      <c r="J72" t="s">
        <v>43</v>
      </c>
      <c r="K72" t="s">
        <v>81</v>
      </c>
      <c r="L72">
        <v>44.31</v>
      </c>
      <c r="M72" t="s">
        <v>45</v>
      </c>
      <c r="N72" t="s">
        <v>250</v>
      </c>
      <c r="O72" t="s">
        <v>110</v>
      </c>
      <c r="P72" t="s">
        <v>75</v>
      </c>
      <c r="Q72">
        <v>0</v>
      </c>
      <c r="R72">
        <v>75</v>
      </c>
      <c r="S72">
        <v>0</v>
      </c>
      <c r="T72">
        <v>0</v>
      </c>
      <c r="U72">
        <v>0</v>
      </c>
      <c r="V72" t="s">
        <v>48</v>
      </c>
      <c r="W72">
        <v>0</v>
      </c>
      <c r="X72">
        <v>0</v>
      </c>
      <c r="Y72" t="s">
        <v>49</v>
      </c>
      <c r="Z72" t="s">
        <v>49</v>
      </c>
    </row>
    <row r="73" spans="1:26" x14ac:dyDescent="0.35">
      <c r="A73" t="s">
        <v>251</v>
      </c>
      <c r="B73" s="2">
        <v>45937</v>
      </c>
      <c r="C73">
        <v>2025</v>
      </c>
      <c r="D73">
        <v>10</v>
      </c>
      <c r="E73" t="s">
        <v>39</v>
      </c>
      <c r="F73" t="s">
        <v>531</v>
      </c>
      <c r="G73" t="s">
        <v>252</v>
      </c>
      <c r="H73" t="s">
        <v>253</v>
      </c>
      <c r="I73" t="s">
        <v>42</v>
      </c>
      <c r="J73" t="s">
        <v>43</v>
      </c>
      <c r="K73" t="s">
        <v>87</v>
      </c>
      <c r="L73">
        <v>41.19</v>
      </c>
      <c r="M73" t="s">
        <v>45</v>
      </c>
      <c r="N73" t="s">
        <v>254</v>
      </c>
      <c r="O73" t="s">
        <v>105</v>
      </c>
      <c r="P73" t="s">
        <v>43</v>
      </c>
      <c r="Q73">
        <v>0</v>
      </c>
      <c r="R73">
        <v>50</v>
      </c>
      <c r="S73">
        <v>0</v>
      </c>
      <c r="T73">
        <v>0</v>
      </c>
      <c r="U73">
        <v>0</v>
      </c>
      <c r="V73" t="s">
        <v>48</v>
      </c>
      <c r="W73">
        <v>0</v>
      </c>
      <c r="X73">
        <v>0</v>
      </c>
      <c r="Y73" t="s">
        <v>49</v>
      </c>
      <c r="Z73" t="s">
        <v>49</v>
      </c>
    </row>
    <row r="74" spans="1:26" x14ac:dyDescent="0.35">
      <c r="A74" t="s">
        <v>255</v>
      </c>
      <c r="B74" s="2">
        <v>45891</v>
      </c>
      <c r="C74">
        <v>2025</v>
      </c>
      <c r="D74">
        <v>8</v>
      </c>
      <c r="E74" t="s">
        <v>96</v>
      </c>
      <c r="F74" t="s">
        <v>536</v>
      </c>
      <c r="G74" t="s">
        <v>256</v>
      </c>
      <c r="H74" t="s">
        <v>257</v>
      </c>
      <c r="I74" t="s">
        <v>63</v>
      </c>
      <c r="J74" t="s">
        <v>58</v>
      </c>
      <c r="K74" t="s">
        <v>55</v>
      </c>
      <c r="L74">
        <v>234.67</v>
      </c>
      <c r="M74" t="s">
        <v>45</v>
      </c>
      <c r="N74" t="s">
        <v>104</v>
      </c>
      <c r="O74" t="s">
        <v>105</v>
      </c>
      <c r="P74" t="s">
        <v>239</v>
      </c>
      <c r="Q74">
        <v>0</v>
      </c>
      <c r="R74">
        <v>300</v>
      </c>
      <c r="S74">
        <v>0</v>
      </c>
      <c r="T74">
        <v>0</v>
      </c>
      <c r="U74">
        <v>0</v>
      </c>
      <c r="V74" t="s">
        <v>48</v>
      </c>
      <c r="W74">
        <v>0</v>
      </c>
      <c r="X74">
        <v>0</v>
      </c>
      <c r="Y74" t="s">
        <v>49</v>
      </c>
      <c r="Z74" t="s">
        <v>49</v>
      </c>
    </row>
    <row r="75" spans="1:26" x14ac:dyDescent="0.35">
      <c r="A75" t="s">
        <v>258</v>
      </c>
      <c r="B75" s="2">
        <v>45967</v>
      </c>
      <c r="C75">
        <v>2025</v>
      </c>
      <c r="D75">
        <v>11</v>
      </c>
      <c r="E75" t="s">
        <v>132</v>
      </c>
      <c r="F75" t="s">
        <v>540</v>
      </c>
      <c r="G75" t="s">
        <v>259</v>
      </c>
      <c r="H75" t="s">
        <v>260</v>
      </c>
      <c r="I75" t="s">
        <v>86</v>
      </c>
      <c r="J75" t="s">
        <v>43</v>
      </c>
      <c r="K75" t="s">
        <v>44</v>
      </c>
      <c r="L75">
        <v>116.04</v>
      </c>
      <c r="M75" t="s">
        <v>45</v>
      </c>
      <c r="N75" t="s">
        <v>104</v>
      </c>
      <c r="O75" t="s">
        <v>105</v>
      </c>
      <c r="P75" t="s">
        <v>209</v>
      </c>
      <c r="Q75">
        <v>0</v>
      </c>
      <c r="R75">
        <v>150</v>
      </c>
      <c r="S75">
        <v>0</v>
      </c>
      <c r="T75">
        <v>0</v>
      </c>
      <c r="U75">
        <v>0</v>
      </c>
      <c r="V75" t="s">
        <v>48</v>
      </c>
      <c r="W75">
        <v>0</v>
      </c>
      <c r="X75">
        <v>0</v>
      </c>
      <c r="Y75" t="s">
        <v>49</v>
      </c>
      <c r="Z75" t="s">
        <v>49</v>
      </c>
    </row>
    <row r="76" spans="1:26" x14ac:dyDescent="0.35">
      <c r="A76" t="s">
        <v>261</v>
      </c>
      <c r="B76" s="2">
        <v>45789</v>
      </c>
      <c r="C76">
        <v>2025</v>
      </c>
      <c r="D76">
        <v>5</v>
      </c>
      <c r="E76" t="s">
        <v>113</v>
      </c>
      <c r="F76" t="s">
        <v>538</v>
      </c>
      <c r="G76" t="s">
        <v>141</v>
      </c>
      <c r="H76" t="s">
        <v>142</v>
      </c>
      <c r="I76" t="s">
        <v>71</v>
      </c>
      <c r="J76" t="s">
        <v>58</v>
      </c>
      <c r="K76" t="s">
        <v>87</v>
      </c>
      <c r="L76">
        <v>52.9</v>
      </c>
      <c r="M76" t="s">
        <v>45</v>
      </c>
      <c r="N76" t="s">
        <v>88</v>
      </c>
      <c r="O76" t="s">
        <v>66</v>
      </c>
      <c r="P76" t="s">
        <v>58</v>
      </c>
      <c r="Q76">
        <v>1</v>
      </c>
      <c r="R76">
        <v>50</v>
      </c>
      <c r="S76">
        <v>2.9</v>
      </c>
      <c r="T76">
        <v>0</v>
      </c>
      <c r="U76">
        <v>0</v>
      </c>
      <c r="V76" t="s">
        <v>48</v>
      </c>
      <c r="W76">
        <v>0</v>
      </c>
      <c r="X76">
        <v>0</v>
      </c>
      <c r="Y76" t="s">
        <v>67</v>
      </c>
      <c r="Z76" t="s">
        <v>32</v>
      </c>
    </row>
    <row r="77" spans="1:26" x14ac:dyDescent="0.35">
      <c r="A77" t="s">
        <v>262</v>
      </c>
      <c r="B77" s="2">
        <v>45786</v>
      </c>
      <c r="C77">
        <v>2025</v>
      </c>
      <c r="D77">
        <v>5</v>
      </c>
      <c r="E77" t="s">
        <v>113</v>
      </c>
      <c r="F77" t="s">
        <v>538</v>
      </c>
      <c r="G77" t="s">
        <v>61</v>
      </c>
      <c r="H77" t="s">
        <v>62</v>
      </c>
      <c r="I77" t="s">
        <v>63</v>
      </c>
      <c r="J77" t="s">
        <v>54</v>
      </c>
      <c r="K77" t="s">
        <v>72</v>
      </c>
      <c r="L77">
        <v>37.520000000000003</v>
      </c>
      <c r="M77" t="s">
        <v>45</v>
      </c>
      <c r="N77" t="s">
        <v>182</v>
      </c>
      <c r="O77" t="s">
        <v>47</v>
      </c>
      <c r="P77" t="s">
        <v>75</v>
      </c>
      <c r="Q77">
        <v>0</v>
      </c>
      <c r="R77">
        <v>75</v>
      </c>
      <c r="S77">
        <v>0</v>
      </c>
      <c r="T77">
        <v>0</v>
      </c>
      <c r="U77">
        <v>0</v>
      </c>
      <c r="V77" t="s">
        <v>48</v>
      </c>
      <c r="W77">
        <v>0</v>
      </c>
      <c r="X77">
        <v>0</v>
      </c>
      <c r="Y77" t="s">
        <v>49</v>
      </c>
      <c r="Z77" t="s">
        <v>49</v>
      </c>
    </row>
    <row r="78" spans="1:26" x14ac:dyDescent="0.35">
      <c r="A78" t="s">
        <v>263</v>
      </c>
      <c r="B78" s="2">
        <v>45770</v>
      </c>
      <c r="C78">
        <v>2025</v>
      </c>
      <c r="D78">
        <v>4</v>
      </c>
      <c r="E78" t="s">
        <v>77</v>
      </c>
      <c r="F78" t="s">
        <v>534</v>
      </c>
      <c r="G78" t="s">
        <v>214</v>
      </c>
      <c r="H78" t="s">
        <v>215</v>
      </c>
      <c r="I78" t="s">
        <v>86</v>
      </c>
      <c r="J78" t="s">
        <v>43</v>
      </c>
      <c r="K78" t="s">
        <v>72</v>
      </c>
      <c r="L78">
        <v>41.87</v>
      </c>
      <c r="M78" t="s">
        <v>45</v>
      </c>
      <c r="N78" t="s">
        <v>136</v>
      </c>
      <c r="O78" t="s">
        <v>57</v>
      </c>
      <c r="P78" t="s">
        <v>54</v>
      </c>
      <c r="Q78">
        <v>0</v>
      </c>
      <c r="R78">
        <v>75</v>
      </c>
      <c r="S78">
        <v>0</v>
      </c>
      <c r="T78">
        <v>0</v>
      </c>
      <c r="U78">
        <v>0</v>
      </c>
      <c r="V78" t="s">
        <v>48</v>
      </c>
      <c r="W78">
        <v>0</v>
      </c>
      <c r="X78">
        <v>0</v>
      </c>
      <c r="Y78" t="s">
        <v>49</v>
      </c>
      <c r="Z78" t="s">
        <v>49</v>
      </c>
    </row>
    <row r="79" spans="1:26" x14ac:dyDescent="0.35">
      <c r="A79" t="s">
        <v>264</v>
      </c>
      <c r="B79" s="2">
        <v>45684</v>
      </c>
      <c r="C79">
        <v>2025</v>
      </c>
      <c r="D79">
        <v>1</v>
      </c>
      <c r="E79" t="s">
        <v>169</v>
      </c>
      <c r="F79" t="s">
        <v>542</v>
      </c>
      <c r="G79" t="s">
        <v>165</v>
      </c>
      <c r="H79" t="s">
        <v>166</v>
      </c>
      <c r="I79" t="s">
        <v>42</v>
      </c>
      <c r="J79" t="s">
        <v>58</v>
      </c>
      <c r="K79" t="s">
        <v>64</v>
      </c>
      <c r="L79">
        <v>35.51</v>
      </c>
      <c r="M79" t="s">
        <v>73</v>
      </c>
      <c r="N79" t="s">
        <v>46</v>
      </c>
      <c r="O79" t="s">
        <v>47</v>
      </c>
      <c r="P79" t="s">
        <v>167</v>
      </c>
      <c r="Q79">
        <v>1</v>
      </c>
      <c r="R79">
        <v>30</v>
      </c>
      <c r="S79">
        <v>5.51</v>
      </c>
      <c r="T79">
        <v>0</v>
      </c>
      <c r="U79">
        <v>0</v>
      </c>
      <c r="V79" t="s">
        <v>48</v>
      </c>
      <c r="W79">
        <v>1</v>
      </c>
      <c r="X79">
        <v>35.51</v>
      </c>
      <c r="Y79" t="s">
        <v>67</v>
      </c>
      <c r="Z79" t="s">
        <v>220</v>
      </c>
    </row>
    <row r="80" spans="1:26" x14ac:dyDescent="0.35">
      <c r="A80" t="s">
        <v>265</v>
      </c>
      <c r="B80" s="2">
        <v>45804</v>
      </c>
      <c r="C80">
        <v>2025</v>
      </c>
      <c r="D80">
        <v>5</v>
      </c>
      <c r="E80" t="s">
        <v>113</v>
      </c>
      <c r="F80" t="s">
        <v>538</v>
      </c>
      <c r="G80" t="s">
        <v>266</v>
      </c>
      <c r="H80" t="s">
        <v>267</v>
      </c>
      <c r="I80" t="s">
        <v>42</v>
      </c>
      <c r="J80" t="s">
        <v>54</v>
      </c>
      <c r="K80" t="s">
        <v>87</v>
      </c>
      <c r="L80">
        <v>41.6</v>
      </c>
      <c r="M80" t="s">
        <v>45</v>
      </c>
      <c r="N80" t="s">
        <v>109</v>
      </c>
      <c r="O80" t="s">
        <v>110</v>
      </c>
      <c r="P80" t="s">
        <v>94</v>
      </c>
      <c r="Q80">
        <v>0</v>
      </c>
      <c r="R80">
        <v>50</v>
      </c>
      <c r="S80">
        <v>0</v>
      </c>
      <c r="T80">
        <v>0</v>
      </c>
      <c r="U80">
        <v>0</v>
      </c>
      <c r="V80" t="s">
        <v>48</v>
      </c>
      <c r="W80">
        <v>0</v>
      </c>
      <c r="X80">
        <v>0</v>
      </c>
      <c r="Y80" t="s">
        <v>49</v>
      </c>
      <c r="Z80" t="s">
        <v>49</v>
      </c>
    </row>
    <row r="81" spans="1:26" x14ac:dyDescent="0.35">
      <c r="A81" t="s">
        <v>268</v>
      </c>
      <c r="B81" s="2">
        <v>45685</v>
      </c>
      <c r="C81">
        <v>2025</v>
      </c>
      <c r="D81">
        <v>1</v>
      </c>
      <c r="E81" t="s">
        <v>169</v>
      </c>
      <c r="F81" t="s">
        <v>542</v>
      </c>
      <c r="G81" t="s">
        <v>84</v>
      </c>
      <c r="H81" t="s">
        <v>85</v>
      </c>
      <c r="I81" t="s">
        <v>86</v>
      </c>
      <c r="J81" t="s">
        <v>58</v>
      </c>
      <c r="K81" t="s">
        <v>72</v>
      </c>
      <c r="L81">
        <v>42.88</v>
      </c>
      <c r="M81" t="s">
        <v>73</v>
      </c>
      <c r="N81" t="s">
        <v>144</v>
      </c>
      <c r="O81" t="s">
        <v>66</v>
      </c>
      <c r="P81" t="s">
        <v>239</v>
      </c>
      <c r="Q81">
        <v>0</v>
      </c>
      <c r="R81">
        <v>75</v>
      </c>
      <c r="S81">
        <v>0</v>
      </c>
      <c r="T81">
        <v>0</v>
      </c>
      <c r="U81">
        <v>0</v>
      </c>
      <c r="V81" t="s">
        <v>48</v>
      </c>
      <c r="W81">
        <v>1</v>
      </c>
      <c r="X81">
        <v>42.88</v>
      </c>
      <c r="Y81" t="s">
        <v>67</v>
      </c>
      <c r="Z81" t="s">
        <v>73</v>
      </c>
    </row>
    <row r="82" spans="1:26" x14ac:dyDescent="0.35">
      <c r="A82" t="s">
        <v>269</v>
      </c>
      <c r="B82" s="2">
        <v>45811</v>
      </c>
      <c r="C82">
        <v>2025</v>
      </c>
      <c r="D82">
        <v>6</v>
      </c>
      <c r="E82" t="s">
        <v>83</v>
      </c>
      <c r="F82" t="s">
        <v>535</v>
      </c>
      <c r="G82" t="s">
        <v>61</v>
      </c>
      <c r="H82" t="s">
        <v>62</v>
      </c>
      <c r="I82" t="s">
        <v>63</v>
      </c>
      <c r="J82" t="s">
        <v>54</v>
      </c>
      <c r="K82" t="s">
        <v>81</v>
      </c>
      <c r="L82">
        <v>27.01</v>
      </c>
      <c r="M82" t="s">
        <v>45</v>
      </c>
      <c r="N82" t="s">
        <v>46</v>
      </c>
      <c r="O82" t="s">
        <v>47</v>
      </c>
      <c r="P82" t="s">
        <v>111</v>
      </c>
      <c r="Q82">
        <v>0</v>
      </c>
      <c r="R82">
        <v>75</v>
      </c>
      <c r="S82">
        <v>0</v>
      </c>
      <c r="T82">
        <v>0</v>
      </c>
      <c r="U82">
        <v>0</v>
      </c>
      <c r="V82" t="s">
        <v>48</v>
      </c>
      <c r="W82">
        <v>0</v>
      </c>
      <c r="X82">
        <v>0</v>
      </c>
      <c r="Y82" t="s">
        <v>49</v>
      </c>
      <c r="Z82" t="s">
        <v>49</v>
      </c>
    </row>
    <row r="83" spans="1:26" x14ac:dyDescent="0.35">
      <c r="A83" t="s">
        <v>270</v>
      </c>
      <c r="B83" s="2">
        <v>45786</v>
      </c>
      <c r="C83">
        <v>2025</v>
      </c>
      <c r="D83">
        <v>5</v>
      </c>
      <c r="E83" t="s">
        <v>113</v>
      </c>
      <c r="F83" t="s">
        <v>538</v>
      </c>
      <c r="G83" t="s">
        <v>61</v>
      </c>
      <c r="H83" t="s">
        <v>62</v>
      </c>
      <c r="I83" t="s">
        <v>63</v>
      </c>
      <c r="J83" t="s">
        <v>54</v>
      </c>
      <c r="K83" t="s">
        <v>64</v>
      </c>
      <c r="L83">
        <v>24.24</v>
      </c>
      <c r="M83" t="s">
        <v>45</v>
      </c>
      <c r="N83" t="s">
        <v>46</v>
      </c>
      <c r="O83" t="s">
        <v>47</v>
      </c>
      <c r="P83" t="s">
        <v>106</v>
      </c>
      <c r="Q83">
        <v>0</v>
      </c>
      <c r="R83">
        <v>30</v>
      </c>
      <c r="S83">
        <v>0</v>
      </c>
      <c r="T83">
        <v>0</v>
      </c>
      <c r="U83">
        <v>0</v>
      </c>
      <c r="V83" t="s">
        <v>48</v>
      </c>
      <c r="W83">
        <v>0</v>
      </c>
      <c r="X83">
        <v>0</v>
      </c>
      <c r="Y83" t="s">
        <v>49</v>
      </c>
      <c r="Z83" t="s">
        <v>49</v>
      </c>
    </row>
    <row r="84" spans="1:26" x14ac:dyDescent="0.35">
      <c r="A84" t="s">
        <v>271</v>
      </c>
      <c r="B84" s="2">
        <v>45902</v>
      </c>
      <c r="C84">
        <v>2025</v>
      </c>
      <c r="D84">
        <v>9</v>
      </c>
      <c r="E84" t="s">
        <v>121</v>
      </c>
      <c r="F84" t="s">
        <v>539</v>
      </c>
      <c r="G84" t="s">
        <v>61</v>
      </c>
      <c r="H84" t="s">
        <v>62</v>
      </c>
      <c r="I84" t="s">
        <v>63</v>
      </c>
      <c r="J84" t="s">
        <v>54</v>
      </c>
      <c r="K84" t="s">
        <v>108</v>
      </c>
      <c r="L84">
        <v>647.30999999999995</v>
      </c>
      <c r="M84" t="s">
        <v>45</v>
      </c>
      <c r="N84" t="s">
        <v>116</v>
      </c>
      <c r="O84" t="s">
        <v>57</v>
      </c>
      <c r="P84" t="s">
        <v>58</v>
      </c>
      <c r="Q84">
        <v>0</v>
      </c>
      <c r="R84">
        <v>800</v>
      </c>
      <c r="S84">
        <v>0</v>
      </c>
      <c r="T84">
        <v>0</v>
      </c>
      <c r="U84">
        <v>0</v>
      </c>
      <c r="V84" t="s">
        <v>48</v>
      </c>
      <c r="W84">
        <v>0</v>
      </c>
      <c r="X84">
        <v>0</v>
      </c>
      <c r="Y84" t="s">
        <v>49</v>
      </c>
      <c r="Z84" t="s">
        <v>49</v>
      </c>
    </row>
    <row r="85" spans="1:26" x14ac:dyDescent="0.35">
      <c r="A85" t="s">
        <v>272</v>
      </c>
      <c r="B85" s="2">
        <v>45931</v>
      </c>
      <c r="C85">
        <v>2025</v>
      </c>
      <c r="D85">
        <v>10</v>
      </c>
      <c r="E85" t="s">
        <v>39</v>
      </c>
      <c r="F85" t="s">
        <v>531</v>
      </c>
      <c r="G85" t="s">
        <v>61</v>
      </c>
      <c r="H85" t="s">
        <v>62</v>
      </c>
      <c r="I85" t="s">
        <v>63</v>
      </c>
      <c r="J85" t="s">
        <v>54</v>
      </c>
      <c r="K85" t="s">
        <v>108</v>
      </c>
      <c r="L85">
        <v>489.71</v>
      </c>
      <c r="M85" t="s">
        <v>73</v>
      </c>
      <c r="N85" t="s">
        <v>273</v>
      </c>
      <c r="O85" t="s">
        <v>66</v>
      </c>
      <c r="P85" t="s">
        <v>137</v>
      </c>
      <c r="Q85">
        <v>0</v>
      </c>
      <c r="R85">
        <v>800</v>
      </c>
      <c r="S85">
        <v>0</v>
      </c>
      <c r="T85">
        <v>0</v>
      </c>
      <c r="U85">
        <v>0</v>
      </c>
      <c r="V85" t="s">
        <v>48</v>
      </c>
      <c r="W85">
        <v>1</v>
      </c>
      <c r="X85">
        <v>489.71</v>
      </c>
      <c r="Y85" t="s">
        <v>67</v>
      </c>
      <c r="Z85" t="s">
        <v>73</v>
      </c>
    </row>
    <row r="86" spans="1:26" x14ac:dyDescent="0.35">
      <c r="A86" t="s">
        <v>274</v>
      </c>
      <c r="B86" s="2">
        <v>45848</v>
      </c>
      <c r="C86">
        <v>2025</v>
      </c>
      <c r="D86">
        <v>7</v>
      </c>
      <c r="E86" t="s">
        <v>60</v>
      </c>
      <c r="F86" t="s">
        <v>533</v>
      </c>
      <c r="G86" t="s">
        <v>184</v>
      </c>
      <c r="H86" t="s">
        <v>185</v>
      </c>
      <c r="I86" t="s">
        <v>93</v>
      </c>
      <c r="J86" t="s">
        <v>43</v>
      </c>
      <c r="K86" t="s">
        <v>55</v>
      </c>
      <c r="L86">
        <v>354.38</v>
      </c>
      <c r="M86" t="s">
        <v>45</v>
      </c>
      <c r="N86" t="s">
        <v>46</v>
      </c>
      <c r="O86" t="s">
        <v>47</v>
      </c>
      <c r="P86" t="s">
        <v>209</v>
      </c>
      <c r="Q86">
        <v>1</v>
      </c>
      <c r="R86">
        <v>300</v>
      </c>
      <c r="S86">
        <v>54.38</v>
      </c>
      <c r="T86">
        <v>0</v>
      </c>
      <c r="U86">
        <v>0</v>
      </c>
      <c r="V86" t="s">
        <v>48</v>
      </c>
      <c r="W86">
        <v>0</v>
      </c>
      <c r="X86">
        <v>0</v>
      </c>
      <c r="Y86" t="s">
        <v>67</v>
      </c>
      <c r="Z86" t="s">
        <v>32</v>
      </c>
    </row>
    <row r="87" spans="1:26" x14ac:dyDescent="0.35">
      <c r="A87" t="s">
        <v>275</v>
      </c>
      <c r="B87" s="2">
        <v>45870</v>
      </c>
      <c r="C87">
        <v>2025</v>
      </c>
      <c r="D87">
        <v>8</v>
      </c>
      <c r="E87" t="s">
        <v>96</v>
      </c>
      <c r="F87" t="s">
        <v>536</v>
      </c>
      <c r="G87" t="s">
        <v>170</v>
      </c>
      <c r="H87" t="s">
        <v>171</v>
      </c>
      <c r="I87" t="s">
        <v>80</v>
      </c>
      <c r="J87" t="s">
        <v>54</v>
      </c>
      <c r="K87" t="s">
        <v>81</v>
      </c>
      <c r="L87">
        <v>49.47</v>
      </c>
      <c r="M87" t="s">
        <v>45</v>
      </c>
      <c r="N87" t="s">
        <v>46</v>
      </c>
      <c r="O87" t="s">
        <v>47</v>
      </c>
      <c r="P87" t="s">
        <v>75</v>
      </c>
      <c r="Q87">
        <v>0</v>
      </c>
      <c r="R87">
        <v>75</v>
      </c>
      <c r="S87">
        <v>0</v>
      </c>
      <c r="T87">
        <v>0</v>
      </c>
      <c r="U87">
        <v>0</v>
      </c>
      <c r="V87" t="s">
        <v>48</v>
      </c>
      <c r="W87">
        <v>0</v>
      </c>
      <c r="X87">
        <v>0</v>
      </c>
      <c r="Y87" t="s">
        <v>49</v>
      </c>
      <c r="Z87" t="s">
        <v>49</v>
      </c>
    </row>
    <row r="88" spans="1:26" x14ac:dyDescent="0.35">
      <c r="A88" t="s">
        <v>276</v>
      </c>
      <c r="B88" s="2">
        <v>45673</v>
      </c>
      <c r="C88">
        <v>2025</v>
      </c>
      <c r="D88">
        <v>1</v>
      </c>
      <c r="E88" t="s">
        <v>169</v>
      </c>
      <c r="F88" t="s">
        <v>542</v>
      </c>
      <c r="G88" t="s">
        <v>248</v>
      </c>
      <c r="H88" t="s">
        <v>249</v>
      </c>
      <c r="I88" t="s">
        <v>63</v>
      </c>
      <c r="J88" t="s">
        <v>43</v>
      </c>
      <c r="K88" t="s">
        <v>81</v>
      </c>
      <c r="L88">
        <v>78.28</v>
      </c>
      <c r="M88" t="s">
        <v>45</v>
      </c>
      <c r="N88" t="s">
        <v>250</v>
      </c>
      <c r="O88" t="s">
        <v>110</v>
      </c>
      <c r="P88" t="s">
        <v>75</v>
      </c>
      <c r="Q88">
        <v>1</v>
      </c>
      <c r="R88">
        <v>75</v>
      </c>
      <c r="S88">
        <v>3.28</v>
      </c>
      <c r="T88">
        <v>0</v>
      </c>
      <c r="U88">
        <v>0</v>
      </c>
      <c r="V88" t="s">
        <v>48</v>
      </c>
      <c r="W88">
        <v>0</v>
      </c>
      <c r="X88">
        <v>0</v>
      </c>
      <c r="Y88" t="s">
        <v>67</v>
      </c>
      <c r="Z88" t="s">
        <v>32</v>
      </c>
    </row>
    <row r="89" spans="1:26" x14ac:dyDescent="0.35">
      <c r="A89" t="s">
        <v>277</v>
      </c>
      <c r="B89" s="2">
        <v>45987</v>
      </c>
      <c r="C89">
        <v>2025</v>
      </c>
      <c r="D89">
        <v>11</v>
      </c>
      <c r="E89" t="s">
        <v>132</v>
      </c>
      <c r="F89" t="s">
        <v>540</v>
      </c>
      <c r="G89" t="s">
        <v>189</v>
      </c>
      <c r="H89" t="s">
        <v>190</v>
      </c>
      <c r="I89" t="s">
        <v>93</v>
      </c>
      <c r="J89" t="s">
        <v>54</v>
      </c>
      <c r="K89" t="s">
        <v>64</v>
      </c>
      <c r="L89">
        <v>23.35</v>
      </c>
      <c r="M89" t="s">
        <v>45</v>
      </c>
      <c r="N89" t="s">
        <v>122</v>
      </c>
      <c r="O89" t="s">
        <v>100</v>
      </c>
      <c r="P89" t="s">
        <v>137</v>
      </c>
      <c r="Q89">
        <v>0</v>
      </c>
      <c r="R89">
        <v>30</v>
      </c>
      <c r="S89">
        <v>0</v>
      </c>
      <c r="T89">
        <v>0</v>
      </c>
      <c r="U89">
        <v>0</v>
      </c>
      <c r="V89" t="s">
        <v>48</v>
      </c>
      <c r="W89">
        <v>0</v>
      </c>
      <c r="X89">
        <v>0</v>
      </c>
      <c r="Y89" t="s">
        <v>49</v>
      </c>
      <c r="Z89" t="s">
        <v>49</v>
      </c>
    </row>
    <row r="90" spans="1:26" x14ac:dyDescent="0.35">
      <c r="A90" t="s">
        <v>278</v>
      </c>
      <c r="B90" s="2">
        <v>45765</v>
      </c>
      <c r="C90">
        <v>2025</v>
      </c>
      <c r="D90">
        <v>4</v>
      </c>
      <c r="E90" t="s">
        <v>77</v>
      </c>
      <c r="F90" t="s">
        <v>534</v>
      </c>
      <c r="G90" t="s">
        <v>162</v>
      </c>
      <c r="H90" t="s">
        <v>163</v>
      </c>
      <c r="I90" t="s">
        <v>63</v>
      </c>
      <c r="J90" t="s">
        <v>58</v>
      </c>
      <c r="K90" t="s">
        <v>81</v>
      </c>
      <c r="L90">
        <v>85.79</v>
      </c>
      <c r="M90" t="s">
        <v>73</v>
      </c>
      <c r="N90" t="s">
        <v>88</v>
      </c>
      <c r="O90" t="s">
        <v>66</v>
      </c>
      <c r="P90" t="s">
        <v>58</v>
      </c>
      <c r="Q90">
        <v>1</v>
      </c>
      <c r="R90">
        <v>75</v>
      </c>
      <c r="S90">
        <v>10.79</v>
      </c>
      <c r="T90">
        <v>0</v>
      </c>
      <c r="U90">
        <v>0</v>
      </c>
      <c r="V90" t="s">
        <v>48</v>
      </c>
      <c r="W90">
        <v>1</v>
      </c>
      <c r="X90">
        <v>85.79</v>
      </c>
      <c r="Y90" t="s">
        <v>67</v>
      </c>
      <c r="Z90" t="s">
        <v>220</v>
      </c>
    </row>
    <row r="91" spans="1:26" x14ac:dyDescent="0.35">
      <c r="A91" t="s">
        <v>279</v>
      </c>
      <c r="B91" s="2">
        <v>45953</v>
      </c>
      <c r="C91">
        <v>2025</v>
      </c>
      <c r="D91">
        <v>10</v>
      </c>
      <c r="E91" t="s">
        <v>39</v>
      </c>
      <c r="F91" t="s">
        <v>531</v>
      </c>
      <c r="G91" t="s">
        <v>150</v>
      </c>
      <c r="H91" t="s">
        <v>151</v>
      </c>
      <c r="I91" t="s">
        <v>86</v>
      </c>
      <c r="J91" t="s">
        <v>54</v>
      </c>
      <c r="K91" t="s">
        <v>44</v>
      </c>
      <c r="L91">
        <v>180.08</v>
      </c>
      <c r="M91" t="s">
        <v>45</v>
      </c>
      <c r="N91" t="s">
        <v>46</v>
      </c>
      <c r="O91" t="s">
        <v>47</v>
      </c>
      <c r="P91" t="s">
        <v>106</v>
      </c>
      <c r="Q91">
        <v>1</v>
      </c>
      <c r="R91">
        <v>150</v>
      </c>
      <c r="S91">
        <v>30.08</v>
      </c>
      <c r="T91">
        <v>0</v>
      </c>
      <c r="U91">
        <v>0</v>
      </c>
      <c r="V91" t="s">
        <v>48</v>
      </c>
      <c r="W91">
        <v>0</v>
      </c>
      <c r="X91">
        <v>0</v>
      </c>
      <c r="Y91" t="s">
        <v>67</v>
      </c>
      <c r="Z91" t="s">
        <v>32</v>
      </c>
    </row>
    <row r="92" spans="1:26" x14ac:dyDescent="0.35">
      <c r="A92" t="s">
        <v>280</v>
      </c>
      <c r="B92" s="2">
        <v>45832</v>
      </c>
      <c r="C92">
        <v>2025</v>
      </c>
      <c r="D92">
        <v>6</v>
      </c>
      <c r="E92" t="s">
        <v>83</v>
      </c>
      <c r="F92" t="s">
        <v>535</v>
      </c>
      <c r="G92" t="s">
        <v>281</v>
      </c>
      <c r="H92" t="s">
        <v>282</v>
      </c>
      <c r="I92" t="s">
        <v>86</v>
      </c>
      <c r="J92" t="s">
        <v>54</v>
      </c>
      <c r="K92" t="s">
        <v>64</v>
      </c>
      <c r="L92">
        <v>15.21</v>
      </c>
      <c r="M92" t="s">
        <v>73</v>
      </c>
      <c r="N92" t="s">
        <v>283</v>
      </c>
      <c r="O92" t="s">
        <v>66</v>
      </c>
      <c r="P92" t="s">
        <v>43</v>
      </c>
      <c r="Q92">
        <v>0</v>
      </c>
      <c r="R92">
        <v>30</v>
      </c>
      <c r="S92">
        <v>0</v>
      </c>
      <c r="T92">
        <v>1</v>
      </c>
      <c r="U92">
        <v>15.21</v>
      </c>
      <c r="V92" t="s">
        <v>33</v>
      </c>
      <c r="W92">
        <v>1</v>
      </c>
      <c r="X92">
        <v>15.21</v>
      </c>
      <c r="Y92" t="s">
        <v>67</v>
      </c>
      <c r="Z92" t="s">
        <v>101</v>
      </c>
    </row>
    <row r="93" spans="1:26" x14ac:dyDescent="0.35">
      <c r="A93" t="s">
        <v>284</v>
      </c>
      <c r="B93" s="2">
        <v>45917</v>
      </c>
      <c r="C93">
        <v>2025</v>
      </c>
      <c r="D93">
        <v>9</v>
      </c>
      <c r="E93" t="s">
        <v>121</v>
      </c>
      <c r="F93" t="s">
        <v>539</v>
      </c>
      <c r="G93" t="s">
        <v>173</v>
      </c>
      <c r="H93" t="s">
        <v>174</v>
      </c>
      <c r="I93" t="s">
        <v>93</v>
      </c>
      <c r="J93" t="s">
        <v>43</v>
      </c>
      <c r="K93" t="s">
        <v>87</v>
      </c>
      <c r="L93">
        <v>55.82</v>
      </c>
      <c r="M93" t="s">
        <v>45</v>
      </c>
      <c r="N93" t="s">
        <v>122</v>
      </c>
      <c r="O93" t="s">
        <v>100</v>
      </c>
      <c r="P93" t="s">
        <v>43</v>
      </c>
      <c r="Q93">
        <v>1</v>
      </c>
      <c r="R93">
        <v>50</v>
      </c>
      <c r="S93">
        <v>5.82</v>
      </c>
      <c r="T93">
        <v>0</v>
      </c>
      <c r="U93">
        <v>0</v>
      </c>
      <c r="V93" t="s">
        <v>48</v>
      </c>
      <c r="W93">
        <v>0</v>
      </c>
      <c r="X93">
        <v>0</v>
      </c>
      <c r="Y93" t="s">
        <v>67</v>
      </c>
      <c r="Z93" t="s">
        <v>32</v>
      </c>
    </row>
    <row r="94" spans="1:26" x14ac:dyDescent="0.35">
      <c r="A94" t="s">
        <v>285</v>
      </c>
      <c r="B94" s="2">
        <v>45744</v>
      </c>
      <c r="C94">
        <v>2025</v>
      </c>
      <c r="D94">
        <v>3</v>
      </c>
      <c r="E94" t="s">
        <v>135</v>
      </c>
      <c r="F94" t="s">
        <v>541</v>
      </c>
      <c r="G94" t="s">
        <v>118</v>
      </c>
      <c r="H94" t="s">
        <v>119</v>
      </c>
      <c r="I94" t="s">
        <v>42</v>
      </c>
      <c r="J94" t="s">
        <v>54</v>
      </c>
      <c r="K94" t="s">
        <v>64</v>
      </c>
      <c r="L94">
        <v>36.94</v>
      </c>
      <c r="M94" t="s">
        <v>45</v>
      </c>
      <c r="N94" t="s">
        <v>283</v>
      </c>
      <c r="O94" t="s">
        <v>66</v>
      </c>
      <c r="P94" t="s">
        <v>156</v>
      </c>
      <c r="Q94">
        <v>1</v>
      </c>
      <c r="R94">
        <v>30</v>
      </c>
      <c r="S94">
        <v>6.94</v>
      </c>
      <c r="T94">
        <v>0</v>
      </c>
      <c r="U94">
        <v>0</v>
      </c>
      <c r="V94" t="s">
        <v>48</v>
      </c>
      <c r="W94">
        <v>0</v>
      </c>
      <c r="X94">
        <v>0</v>
      </c>
      <c r="Y94" t="s">
        <v>67</v>
      </c>
      <c r="Z94" t="s">
        <v>32</v>
      </c>
    </row>
    <row r="95" spans="1:26" x14ac:dyDescent="0.35">
      <c r="A95" t="s">
        <v>286</v>
      </c>
      <c r="B95" s="2">
        <v>45825</v>
      </c>
      <c r="C95">
        <v>2025</v>
      </c>
      <c r="D95">
        <v>6</v>
      </c>
      <c r="E95" t="s">
        <v>83</v>
      </c>
      <c r="F95" t="s">
        <v>535</v>
      </c>
      <c r="G95" t="s">
        <v>287</v>
      </c>
      <c r="H95" t="s">
        <v>288</v>
      </c>
      <c r="I95" t="s">
        <v>86</v>
      </c>
      <c r="J95" t="s">
        <v>54</v>
      </c>
      <c r="K95" t="s">
        <v>55</v>
      </c>
      <c r="L95">
        <v>274.11</v>
      </c>
      <c r="M95" t="s">
        <v>45</v>
      </c>
      <c r="N95" t="s">
        <v>136</v>
      </c>
      <c r="O95" t="s">
        <v>57</v>
      </c>
      <c r="P95" t="s">
        <v>137</v>
      </c>
      <c r="Q95">
        <v>0</v>
      </c>
      <c r="R95">
        <v>300</v>
      </c>
      <c r="S95">
        <v>0</v>
      </c>
      <c r="T95">
        <v>0</v>
      </c>
      <c r="U95">
        <v>0</v>
      </c>
      <c r="V95" t="s">
        <v>48</v>
      </c>
      <c r="W95">
        <v>0</v>
      </c>
      <c r="X95">
        <v>0</v>
      </c>
      <c r="Y95" t="s">
        <v>49</v>
      </c>
      <c r="Z95" t="s">
        <v>49</v>
      </c>
    </row>
    <row r="96" spans="1:26" x14ac:dyDescent="0.35">
      <c r="A96" t="s">
        <v>289</v>
      </c>
      <c r="B96" s="2">
        <v>45883</v>
      </c>
      <c r="C96">
        <v>2025</v>
      </c>
      <c r="D96">
        <v>8</v>
      </c>
      <c r="E96" t="s">
        <v>96</v>
      </c>
      <c r="F96" t="s">
        <v>536</v>
      </c>
      <c r="G96" t="s">
        <v>147</v>
      </c>
      <c r="H96" t="s">
        <v>148</v>
      </c>
      <c r="I96" t="s">
        <v>93</v>
      </c>
      <c r="J96" t="s">
        <v>54</v>
      </c>
      <c r="K96" t="s">
        <v>108</v>
      </c>
      <c r="L96">
        <v>839.55</v>
      </c>
      <c r="M96" t="s">
        <v>45</v>
      </c>
      <c r="N96" t="s">
        <v>46</v>
      </c>
      <c r="O96" t="s">
        <v>47</v>
      </c>
      <c r="P96" t="s">
        <v>106</v>
      </c>
      <c r="Q96">
        <v>1</v>
      </c>
      <c r="R96">
        <v>800</v>
      </c>
      <c r="S96">
        <v>39.549999999999997</v>
      </c>
      <c r="T96">
        <v>0</v>
      </c>
      <c r="U96">
        <v>0</v>
      </c>
      <c r="V96" t="s">
        <v>48</v>
      </c>
      <c r="W96">
        <v>0</v>
      </c>
      <c r="X96">
        <v>0</v>
      </c>
      <c r="Y96" t="s">
        <v>67</v>
      </c>
      <c r="Z96" t="s">
        <v>32</v>
      </c>
    </row>
    <row r="97" spans="1:26" x14ac:dyDescent="0.35">
      <c r="A97" t="s">
        <v>290</v>
      </c>
      <c r="B97" s="2">
        <v>45671</v>
      </c>
      <c r="C97">
        <v>2025</v>
      </c>
      <c r="D97">
        <v>1</v>
      </c>
      <c r="E97" t="s">
        <v>169</v>
      </c>
      <c r="F97" t="s">
        <v>542</v>
      </c>
      <c r="G97" t="s">
        <v>291</v>
      </c>
      <c r="H97" t="s">
        <v>292</v>
      </c>
      <c r="I97" t="s">
        <v>63</v>
      </c>
      <c r="J97" t="s">
        <v>43</v>
      </c>
      <c r="K97" t="s">
        <v>55</v>
      </c>
      <c r="L97">
        <v>129.5</v>
      </c>
      <c r="M97" t="s">
        <v>73</v>
      </c>
      <c r="N97" t="s">
        <v>293</v>
      </c>
      <c r="O97" t="s">
        <v>57</v>
      </c>
      <c r="P97" t="s">
        <v>54</v>
      </c>
      <c r="Q97">
        <v>0</v>
      </c>
      <c r="R97">
        <v>300</v>
      </c>
      <c r="S97">
        <v>0</v>
      </c>
      <c r="T97">
        <v>0</v>
      </c>
      <c r="U97">
        <v>0</v>
      </c>
      <c r="V97" t="s">
        <v>48</v>
      </c>
      <c r="W97">
        <v>1</v>
      </c>
      <c r="X97">
        <v>129.5</v>
      </c>
      <c r="Y97" t="s">
        <v>67</v>
      </c>
      <c r="Z97" t="s">
        <v>73</v>
      </c>
    </row>
    <row r="98" spans="1:26" x14ac:dyDescent="0.35">
      <c r="A98" t="s">
        <v>294</v>
      </c>
      <c r="B98" s="2">
        <v>45923</v>
      </c>
      <c r="C98">
        <v>2025</v>
      </c>
      <c r="D98">
        <v>9</v>
      </c>
      <c r="E98" t="s">
        <v>121</v>
      </c>
      <c r="F98" t="s">
        <v>539</v>
      </c>
      <c r="G98" t="s">
        <v>295</v>
      </c>
      <c r="H98" t="s">
        <v>296</v>
      </c>
      <c r="I98" t="s">
        <v>80</v>
      </c>
      <c r="J98" t="s">
        <v>54</v>
      </c>
      <c r="K98" t="s">
        <v>44</v>
      </c>
      <c r="L98">
        <v>73.3</v>
      </c>
      <c r="M98" t="s">
        <v>45</v>
      </c>
      <c r="N98" t="s">
        <v>104</v>
      </c>
      <c r="O98" t="s">
        <v>105</v>
      </c>
      <c r="P98" t="s">
        <v>75</v>
      </c>
      <c r="Q98">
        <v>0</v>
      </c>
      <c r="R98">
        <v>150</v>
      </c>
      <c r="S98">
        <v>0</v>
      </c>
      <c r="T98">
        <v>0</v>
      </c>
      <c r="U98">
        <v>0</v>
      </c>
      <c r="V98" t="s">
        <v>48</v>
      </c>
      <c r="W98">
        <v>0</v>
      </c>
      <c r="X98">
        <v>0</v>
      </c>
      <c r="Y98" t="s">
        <v>49</v>
      </c>
      <c r="Z98" t="s">
        <v>49</v>
      </c>
    </row>
    <row r="99" spans="1:26" x14ac:dyDescent="0.35">
      <c r="A99" t="s">
        <v>297</v>
      </c>
      <c r="B99" s="2">
        <v>45749</v>
      </c>
      <c r="C99">
        <v>2025</v>
      </c>
      <c r="D99">
        <v>4</v>
      </c>
      <c r="E99" t="s">
        <v>77</v>
      </c>
      <c r="F99" t="s">
        <v>534</v>
      </c>
      <c r="G99" t="s">
        <v>173</v>
      </c>
      <c r="H99" t="s">
        <v>174</v>
      </c>
      <c r="I99" t="s">
        <v>93</v>
      </c>
      <c r="J99" t="s">
        <v>43</v>
      </c>
      <c r="K99" t="s">
        <v>81</v>
      </c>
      <c r="L99">
        <v>87.86</v>
      </c>
      <c r="M99" t="s">
        <v>45</v>
      </c>
      <c r="N99" t="s">
        <v>46</v>
      </c>
      <c r="O99" t="s">
        <v>47</v>
      </c>
      <c r="P99" t="s">
        <v>43</v>
      </c>
      <c r="Q99">
        <v>1</v>
      </c>
      <c r="R99">
        <v>75</v>
      </c>
      <c r="S99">
        <v>12.86</v>
      </c>
      <c r="T99">
        <v>0</v>
      </c>
      <c r="U99">
        <v>0</v>
      </c>
      <c r="V99" t="s">
        <v>48</v>
      </c>
      <c r="W99">
        <v>0</v>
      </c>
      <c r="X99">
        <v>0</v>
      </c>
      <c r="Y99" t="s">
        <v>67</v>
      </c>
      <c r="Z99" t="s">
        <v>32</v>
      </c>
    </row>
    <row r="100" spans="1:26" x14ac:dyDescent="0.35">
      <c r="A100" t="s">
        <v>298</v>
      </c>
      <c r="B100" s="2">
        <v>45849</v>
      </c>
      <c r="C100">
        <v>2025</v>
      </c>
      <c r="D100">
        <v>7</v>
      </c>
      <c r="E100" t="s">
        <v>60</v>
      </c>
      <c r="F100" t="s">
        <v>533</v>
      </c>
      <c r="G100" t="s">
        <v>189</v>
      </c>
      <c r="H100" t="s">
        <v>190</v>
      </c>
      <c r="I100" t="s">
        <v>93</v>
      </c>
      <c r="J100" t="s">
        <v>54</v>
      </c>
      <c r="K100" t="s">
        <v>108</v>
      </c>
      <c r="L100">
        <v>693.8</v>
      </c>
      <c r="M100" t="s">
        <v>73</v>
      </c>
      <c r="N100" t="s">
        <v>175</v>
      </c>
      <c r="O100" t="s">
        <v>57</v>
      </c>
      <c r="P100" t="s">
        <v>106</v>
      </c>
      <c r="Q100">
        <v>0</v>
      </c>
      <c r="R100">
        <v>800</v>
      </c>
      <c r="S100">
        <v>0</v>
      </c>
      <c r="T100">
        <v>0</v>
      </c>
      <c r="U100">
        <v>0</v>
      </c>
      <c r="V100" t="s">
        <v>48</v>
      </c>
      <c r="W100">
        <v>1</v>
      </c>
      <c r="X100">
        <v>693.8</v>
      </c>
      <c r="Y100" t="s">
        <v>67</v>
      </c>
      <c r="Z100" t="s">
        <v>73</v>
      </c>
    </row>
    <row r="101" spans="1:26" x14ac:dyDescent="0.35">
      <c r="A101" t="s">
        <v>299</v>
      </c>
      <c r="B101" s="2">
        <v>45775</v>
      </c>
      <c r="C101">
        <v>2025</v>
      </c>
      <c r="D101">
        <v>4</v>
      </c>
      <c r="E101" t="s">
        <v>77</v>
      </c>
      <c r="F101" t="s">
        <v>534</v>
      </c>
      <c r="G101" t="s">
        <v>118</v>
      </c>
      <c r="H101" t="s">
        <v>119</v>
      </c>
      <c r="I101" t="s">
        <v>42</v>
      </c>
      <c r="J101" t="s">
        <v>54</v>
      </c>
      <c r="K101" t="s">
        <v>108</v>
      </c>
      <c r="L101">
        <v>833.8</v>
      </c>
      <c r="M101" t="s">
        <v>45</v>
      </c>
      <c r="N101" t="s">
        <v>116</v>
      </c>
      <c r="O101" t="s">
        <v>57</v>
      </c>
      <c r="P101" t="s">
        <v>156</v>
      </c>
      <c r="Q101">
        <v>1</v>
      </c>
      <c r="R101">
        <v>800</v>
      </c>
      <c r="S101">
        <v>33.799999999999997</v>
      </c>
      <c r="T101">
        <v>1</v>
      </c>
      <c r="U101">
        <v>833.8</v>
      </c>
      <c r="V101" t="s">
        <v>33</v>
      </c>
      <c r="W101">
        <v>0</v>
      </c>
      <c r="X101">
        <v>0</v>
      </c>
      <c r="Y101" t="s">
        <v>67</v>
      </c>
      <c r="Z101" t="s">
        <v>300</v>
      </c>
    </row>
    <row r="102" spans="1:26" x14ac:dyDescent="0.35">
      <c r="A102" t="s">
        <v>301</v>
      </c>
      <c r="B102" s="2">
        <v>45727</v>
      </c>
      <c r="C102">
        <v>2025</v>
      </c>
      <c r="D102">
        <v>3</v>
      </c>
      <c r="E102" t="s">
        <v>135</v>
      </c>
      <c r="F102" t="s">
        <v>541</v>
      </c>
      <c r="G102" t="s">
        <v>84</v>
      </c>
      <c r="H102" t="s">
        <v>85</v>
      </c>
      <c r="I102" t="s">
        <v>86</v>
      </c>
      <c r="J102" t="s">
        <v>58</v>
      </c>
      <c r="K102" t="s">
        <v>55</v>
      </c>
      <c r="L102">
        <v>203.7</v>
      </c>
      <c r="M102" t="s">
        <v>45</v>
      </c>
      <c r="N102" t="s">
        <v>216</v>
      </c>
      <c r="O102" t="s">
        <v>66</v>
      </c>
      <c r="P102" t="s">
        <v>58</v>
      </c>
      <c r="Q102">
        <v>0</v>
      </c>
      <c r="R102">
        <v>300</v>
      </c>
      <c r="S102">
        <v>0</v>
      </c>
      <c r="T102">
        <v>0</v>
      </c>
      <c r="U102">
        <v>0</v>
      </c>
      <c r="V102" t="s">
        <v>48</v>
      </c>
      <c r="W102">
        <v>0</v>
      </c>
      <c r="X102">
        <v>0</v>
      </c>
      <c r="Y102" t="s">
        <v>49</v>
      </c>
      <c r="Z102" t="s">
        <v>49</v>
      </c>
    </row>
    <row r="103" spans="1:26" x14ac:dyDescent="0.35">
      <c r="A103" t="s">
        <v>302</v>
      </c>
      <c r="B103" s="2">
        <v>45860</v>
      </c>
      <c r="C103">
        <v>2025</v>
      </c>
      <c r="D103">
        <v>7</v>
      </c>
      <c r="E103" t="s">
        <v>60</v>
      </c>
      <c r="F103" t="s">
        <v>533</v>
      </c>
      <c r="G103" t="s">
        <v>287</v>
      </c>
      <c r="H103" t="s">
        <v>288</v>
      </c>
      <c r="I103" t="s">
        <v>86</v>
      </c>
      <c r="J103" t="s">
        <v>54</v>
      </c>
      <c r="K103" t="s">
        <v>81</v>
      </c>
      <c r="L103">
        <v>71.88</v>
      </c>
      <c r="M103" t="s">
        <v>73</v>
      </c>
      <c r="N103" t="s">
        <v>160</v>
      </c>
      <c r="O103" t="s">
        <v>105</v>
      </c>
      <c r="P103" t="s">
        <v>111</v>
      </c>
      <c r="Q103">
        <v>0</v>
      </c>
      <c r="R103">
        <v>75</v>
      </c>
      <c r="S103">
        <v>0</v>
      </c>
      <c r="T103">
        <v>0</v>
      </c>
      <c r="U103">
        <v>0</v>
      </c>
      <c r="V103" t="s">
        <v>48</v>
      </c>
      <c r="W103">
        <v>1</v>
      </c>
      <c r="X103">
        <v>71.88</v>
      </c>
      <c r="Y103" t="s">
        <v>67</v>
      </c>
      <c r="Z103" t="s">
        <v>73</v>
      </c>
    </row>
    <row r="104" spans="1:26" x14ac:dyDescent="0.35">
      <c r="A104" t="s">
        <v>303</v>
      </c>
      <c r="B104" s="2">
        <v>45691</v>
      </c>
      <c r="C104">
        <v>2025</v>
      </c>
      <c r="D104">
        <v>2</v>
      </c>
      <c r="E104" t="s">
        <v>51</v>
      </c>
      <c r="F104" t="s">
        <v>532</v>
      </c>
      <c r="G104" t="s">
        <v>61</v>
      </c>
      <c r="H104" t="s">
        <v>62</v>
      </c>
      <c r="I104" t="s">
        <v>63</v>
      </c>
      <c r="J104" t="s">
        <v>54</v>
      </c>
      <c r="K104" t="s">
        <v>55</v>
      </c>
      <c r="L104">
        <v>352.41</v>
      </c>
      <c r="M104" t="s">
        <v>45</v>
      </c>
      <c r="N104" t="s">
        <v>304</v>
      </c>
      <c r="O104" t="s">
        <v>110</v>
      </c>
      <c r="P104" t="s">
        <v>54</v>
      </c>
      <c r="Q104">
        <v>1</v>
      </c>
      <c r="R104">
        <v>300</v>
      </c>
      <c r="S104">
        <v>52.41</v>
      </c>
      <c r="T104">
        <v>1</v>
      </c>
      <c r="U104">
        <v>352.41</v>
      </c>
      <c r="V104" t="s">
        <v>33</v>
      </c>
      <c r="W104">
        <v>0</v>
      </c>
      <c r="X104">
        <v>0</v>
      </c>
      <c r="Y104" t="s">
        <v>67</v>
      </c>
      <c r="Z104" t="s">
        <v>300</v>
      </c>
    </row>
    <row r="105" spans="1:26" x14ac:dyDescent="0.35">
      <c r="A105" t="s">
        <v>305</v>
      </c>
      <c r="B105" s="2">
        <v>45894</v>
      </c>
      <c r="C105">
        <v>2025</v>
      </c>
      <c r="D105">
        <v>8</v>
      </c>
      <c r="E105" t="s">
        <v>96</v>
      </c>
      <c r="F105" t="s">
        <v>536</v>
      </c>
      <c r="G105" t="s">
        <v>218</v>
      </c>
      <c r="H105" t="s">
        <v>219</v>
      </c>
      <c r="I105" t="s">
        <v>86</v>
      </c>
      <c r="J105" t="s">
        <v>58</v>
      </c>
      <c r="K105" t="s">
        <v>44</v>
      </c>
      <c r="L105">
        <v>102.74</v>
      </c>
      <c r="M105" t="s">
        <v>45</v>
      </c>
      <c r="N105" t="s">
        <v>144</v>
      </c>
      <c r="O105" t="s">
        <v>66</v>
      </c>
      <c r="P105" t="s">
        <v>43</v>
      </c>
      <c r="Q105">
        <v>0</v>
      </c>
      <c r="R105">
        <v>150</v>
      </c>
      <c r="S105">
        <v>0</v>
      </c>
      <c r="T105">
        <v>0</v>
      </c>
      <c r="U105">
        <v>0</v>
      </c>
      <c r="V105" t="s">
        <v>48</v>
      </c>
      <c r="W105">
        <v>0</v>
      </c>
      <c r="X105">
        <v>0</v>
      </c>
      <c r="Y105" t="s">
        <v>49</v>
      </c>
      <c r="Z105" t="s">
        <v>49</v>
      </c>
    </row>
    <row r="106" spans="1:26" x14ac:dyDescent="0.35">
      <c r="A106" t="s">
        <v>306</v>
      </c>
      <c r="B106" s="2">
        <v>45979</v>
      </c>
      <c r="C106">
        <v>2025</v>
      </c>
      <c r="D106">
        <v>11</v>
      </c>
      <c r="E106" t="s">
        <v>132</v>
      </c>
      <c r="F106" t="s">
        <v>540</v>
      </c>
      <c r="G106" t="s">
        <v>118</v>
      </c>
      <c r="H106" t="s">
        <v>119</v>
      </c>
      <c r="I106" t="s">
        <v>42</v>
      </c>
      <c r="J106" t="s">
        <v>54</v>
      </c>
      <c r="K106" t="s">
        <v>81</v>
      </c>
      <c r="L106">
        <v>60.36</v>
      </c>
      <c r="M106" t="s">
        <v>45</v>
      </c>
      <c r="N106" t="s">
        <v>187</v>
      </c>
      <c r="O106" t="s">
        <v>110</v>
      </c>
      <c r="P106" t="s">
        <v>58</v>
      </c>
      <c r="Q106">
        <v>0</v>
      </c>
      <c r="R106">
        <v>75</v>
      </c>
      <c r="S106">
        <v>0</v>
      </c>
      <c r="T106">
        <v>0</v>
      </c>
      <c r="U106">
        <v>0</v>
      </c>
      <c r="V106" t="s">
        <v>48</v>
      </c>
      <c r="W106">
        <v>0</v>
      </c>
      <c r="X106">
        <v>0</v>
      </c>
      <c r="Y106" t="s">
        <v>49</v>
      </c>
      <c r="Z106" t="s">
        <v>49</v>
      </c>
    </row>
    <row r="107" spans="1:26" x14ac:dyDescent="0.35">
      <c r="A107" t="s">
        <v>307</v>
      </c>
      <c r="B107" s="2">
        <v>45867</v>
      </c>
      <c r="C107">
        <v>2025</v>
      </c>
      <c r="D107">
        <v>7</v>
      </c>
      <c r="E107" t="s">
        <v>60</v>
      </c>
      <c r="F107" t="s">
        <v>533</v>
      </c>
      <c r="G107" t="s">
        <v>127</v>
      </c>
      <c r="H107" t="s">
        <v>128</v>
      </c>
      <c r="I107" t="s">
        <v>63</v>
      </c>
      <c r="J107" t="s">
        <v>54</v>
      </c>
      <c r="K107" t="s">
        <v>108</v>
      </c>
      <c r="L107">
        <v>909.41</v>
      </c>
      <c r="M107" t="s">
        <v>45</v>
      </c>
      <c r="N107" t="s">
        <v>304</v>
      </c>
      <c r="O107" t="s">
        <v>110</v>
      </c>
      <c r="P107" t="s">
        <v>58</v>
      </c>
      <c r="Q107">
        <v>1</v>
      </c>
      <c r="R107">
        <v>800</v>
      </c>
      <c r="S107">
        <v>109.41</v>
      </c>
      <c r="T107">
        <v>0</v>
      </c>
      <c r="U107">
        <v>0</v>
      </c>
      <c r="V107" t="s">
        <v>48</v>
      </c>
      <c r="W107">
        <v>0</v>
      </c>
      <c r="X107">
        <v>0</v>
      </c>
      <c r="Y107" t="s">
        <v>67</v>
      </c>
      <c r="Z107" t="s">
        <v>32</v>
      </c>
    </row>
    <row r="108" spans="1:26" x14ac:dyDescent="0.35">
      <c r="A108" t="s">
        <v>308</v>
      </c>
      <c r="B108" s="2">
        <v>45782</v>
      </c>
      <c r="C108">
        <v>2025</v>
      </c>
      <c r="D108">
        <v>5</v>
      </c>
      <c r="E108" t="s">
        <v>113</v>
      </c>
      <c r="F108" t="s">
        <v>538</v>
      </c>
      <c r="G108" t="s">
        <v>287</v>
      </c>
      <c r="H108" t="s">
        <v>288</v>
      </c>
      <c r="I108" t="s">
        <v>86</v>
      </c>
      <c r="J108" t="s">
        <v>54</v>
      </c>
      <c r="K108" t="s">
        <v>87</v>
      </c>
      <c r="L108">
        <v>31.43</v>
      </c>
      <c r="M108" t="s">
        <v>45</v>
      </c>
      <c r="N108" t="s">
        <v>187</v>
      </c>
      <c r="O108" t="s">
        <v>110</v>
      </c>
      <c r="P108" t="s">
        <v>137</v>
      </c>
      <c r="Q108">
        <v>0</v>
      </c>
      <c r="R108">
        <v>50</v>
      </c>
      <c r="S108">
        <v>0</v>
      </c>
      <c r="T108">
        <v>0</v>
      </c>
      <c r="U108">
        <v>0</v>
      </c>
      <c r="V108" t="s">
        <v>48</v>
      </c>
      <c r="W108">
        <v>0</v>
      </c>
      <c r="X108">
        <v>0</v>
      </c>
      <c r="Y108" t="s">
        <v>49</v>
      </c>
      <c r="Z108" t="s">
        <v>49</v>
      </c>
    </row>
    <row r="109" spans="1:26" x14ac:dyDescent="0.35">
      <c r="A109" t="s">
        <v>309</v>
      </c>
      <c r="B109" s="2">
        <v>45915</v>
      </c>
      <c r="C109">
        <v>2025</v>
      </c>
      <c r="D109">
        <v>9</v>
      </c>
      <c r="E109" t="s">
        <v>121</v>
      </c>
      <c r="F109" t="s">
        <v>539</v>
      </c>
      <c r="G109" t="s">
        <v>40</v>
      </c>
      <c r="H109" t="s">
        <v>41</v>
      </c>
      <c r="I109" t="s">
        <v>42</v>
      </c>
      <c r="J109" t="s">
        <v>43</v>
      </c>
      <c r="K109" t="s">
        <v>81</v>
      </c>
      <c r="L109">
        <v>99.84</v>
      </c>
      <c r="M109" t="s">
        <v>45</v>
      </c>
      <c r="N109" t="s">
        <v>46</v>
      </c>
      <c r="O109" t="s">
        <v>47</v>
      </c>
      <c r="P109" t="s">
        <v>177</v>
      </c>
      <c r="Q109">
        <v>1</v>
      </c>
      <c r="R109">
        <v>75</v>
      </c>
      <c r="S109">
        <v>24.84</v>
      </c>
      <c r="T109">
        <v>0</v>
      </c>
      <c r="U109">
        <v>0</v>
      </c>
      <c r="V109" t="s">
        <v>48</v>
      </c>
      <c r="W109">
        <v>0</v>
      </c>
      <c r="X109">
        <v>0</v>
      </c>
      <c r="Y109" t="s">
        <v>67</v>
      </c>
      <c r="Z109" t="s">
        <v>32</v>
      </c>
    </row>
    <row r="110" spans="1:26" x14ac:dyDescent="0.35">
      <c r="A110" t="s">
        <v>310</v>
      </c>
      <c r="B110" s="2">
        <v>45691</v>
      </c>
      <c r="C110">
        <v>2025</v>
      </c>
      <c r="D110">
        <v>2</v>
      </c>
      <c r="E110" t="s">
        <v>51</v>
      </c>
      <c r="F110" t="s">
        <v>532</v>
      </c>
      <c r="G110" t="s">
        <v>291</v>
      </c>
      <c r="H110" t="s">
        <v>292</v>
      </c>
      <c r="I110" t="s">
        <v>63</v>
      </c>
      <c r="J110" t="s">
        <v>43</v>
      </c>
      <c r="K110" t="s">
        <v>108</v>
      </c>
      <c r="L110">
        <v>570.86</v>
      </c>
      <c r="M110" t="s">
        <v>45</v>
      </c>
      <c r="N110" t="s">
        <v>136</v>
      </c>
      <c r="O110" t="s">
        <v>57</v>
      </c>
      <c r="P110" t="s">
        <v>54</v>
      </c>
      <c r="Q110">
        <v>0</v>
      </c>
      <c r="R110">
        <v>800</v>
      </c>
      <c r="S110">
        <v>0</v>
      </c>
      <c r="T110">
        <v>0</v>
      </c>
      <c r="U110">
        <v>0</v>
      </c>
      <c r="V110" t="s">
        <v>48</v>
      </c>
      <c r="W110">
        <v>0</v>
      </c>
      <c r="X110">
        <v>0</v>
      </c>
      <c r="Y110" t="s">
        <v>49</v>
      </c>
      <c r="Z110" t="s">
        <v>49</v>
      </c>
    </row>
    <row r="111" spans="1:26" x14ac:dyDescent="0.35">
      <c r="A111" t="s">
        <v>311</v>
      </c>
      <c r="B111" s="2">
        <v>45877</v>
      </c>
      <c r="C111">
        <v>2025</v>
      </c>
      <c r="D111">
        <v>8</v>
      </c>
      <c r="E111" t="s">
        <v>96</v>
      </c>
      <c r="F111" t="s">
        <v>536</v>
      </c>
      <c r="G111" t="s">
        <v>237</v>
      </c>
      <c r="H111" t="s">
        <v>238</v>
      </c>
      <c r="I111" t="s">
        <v>93</v>
      </c>
      <c r="J111" t="s">
        <v>58</v>
      </c>
      <c r="K111" t="s">
        <v>108</v>
      </c>
      <c r="L111">
        <v>1166.83</v>
      </c>
      <c r="M111" t="s">
        <v>73</v>
      </c>
      <c r="N111" t="s">
        <v>116</v>
      </c>
      <c r="O111" t="s">
        <v>57</v>
      </c>
      <c r="P111" t="s">
        <v>58</v>
      </c>
      <c r="Q111">
        <v>1</v>
      </c>
      <c r="R111">
        <v>800</v>
      </c>
      <c r="S111">
        <v>366.83</v>
      </c>
      <c r="T111">
        <v>0</v>
      </c>
      <c r="U111">
        <v>0</v>
      </c>
      <c r="V111" t="s">
        <v>48</v>
      </c>
      <c r="W111">
        <v>1</v>
      </c>
      <c r="X111">
        <v>1166.83</v>
      </c>
      <c r="Y111" t="s">
        <v>67</v>
      </c>
      <c r="Z111" t="s">
        <v>220</v>
      </c>
    </row>
    <row r="112" spans="1:26" x14ac:dyDescent="0.35">
      <c r="A112" t="s">
        <v>312</v>
      </c>
      <c r="B112" s="2">
        <v>45902</v>
      </c>
      <c r="C112">
        <v>2025</v>
      </c>
      <c r="D112">
        <v>9</v>
      </c>
      <c r="E112" t="s">
        <v>121</v>
      </c>
      <c r="F112" t="s">
        <v>539</v>
      </c>
      <c r="G112" t="s">
        <v>114</v>
      </c>
      <c r="H112" t="s">
        <v>115</v>
      </c>
      <c r="I112" t="s">
        <v>42</v>
      </c>
      <c r="J112" t="s">
        <v>54</v>
      </c>
      <c r="K112" t="s">
        <v>87</v>
      </c>
      <c r="L112">
        <v>29.68</v>
      </c>
      <c r="M112" t="s">
        <v>45</v>
      </c>
      <c r="N112" t="s">
        <v>109</v>
      </c>
      <c r="O112" t="s">
        <v>110</v>
      </c>
      <c r="P112" t="s">
        <v>156</v>
      </c>
      <c r="Q112">
        <v>0</v>
      </c>
      <c r="R112">
        <v>50</v>
      </c>
      <c r="S112">
        <v>0</v>
      </c>
      <c r="T112">
        <v>0</v>
      </c>
      <c r="U112">
        <v>0</v>
      </c>
      <c r="V112" t="s">
        <v>48</v>
      </c>
      <c r="W112">
        <v>0</v>
      </c>
      <c r="X112">
        <v>0</v>
      </c>
      <c r="Y112" t="s">
        <v>49</v>
      </c>
      <c r="Z112" t="s">
        <v>49</v>
      </c>
    </row>
    <row r="113" spans="1:26" x14ac:dyDescent="0.35">
      <c r="A113" t="s">
        <v>313</v>
      </c>
      <c r="B113" s="2">
        <v>45919</v>
      </c>
      <c r="C113">
        <v>2025</v>
      </c>
      <c r="D113">
        <v>9</v>
      </c>
      <c r="E113" t="s">
        <v>121</v>
      </c>
      <c r="F113" t="s">
        <v>539</v>
      </c>
      <c r="G113" t="s">
        <v>78</v>
      </c>
      <c r="H113" t="s">
        <v>79</v>
      </c>
      <c r="I113" t="s">
        <v>80</v>
      </c>
      <c r="J113" t="s">
        <v>54</v>
      </c>
      <c r="K113" t="s">
        <v>55</v>
      </c>
      <c r="L113">
        <v>131.94999999999999</v>
      </c>
      <c r="M113" t="s">
        <v>45</v>
      </c>
      <c r="N113" t="s">
        <v>136</v>
      </c>
      <c r="O113" t="s">
        <v>57</v>
      </c>
      <c r="P113" t="s">
        <v>106</v>
      </c>
      <c r="Q113">
        <v>0</v>
      </c>
      <c r="R113">
        <v>300</v>
      </c>
      <c r="S113">
        <v>0</v>
      </c>
      <c r="T113">
        <v>1</v>
      </c>
      <c r="U113">
        <v>131.94999999999999</v>
      </c>
      <c r="V113" t="s">
        <v>33</v>
      </c>
      <c r="W113">
        <v>0</v>
      </c>
      <c r="X113">
        <v>0</v>
      </c>
      <c r="Y113" t="s">
        <v>67</v>
      </c>
      <c r="Z113" t="s">
        <v>33</v>
      </c>
    </row>
    <row r="114" spans="1:26" x14ac:dyDescent="0.35">
      <c r="A114" t="s">
        <v>314</v>
      </c>
      <c r="B114" s="2">
        <v>45757</v>
      </c>
      <c r="C114">
        <v>2025</v>
      </c>
      <c r="D114">
        <v>4</v>
      </c>
      <c r="E114" t="s">
        <v>77</v>
      </c>
      <c r="F114" t="s">
        <v>534</v>
      </c>
      <c r="G114" t="s">
        <v>141</v>
      </c>
      <c r="H114" t="s">
        <v>142</v>
      </c>
      <c r="I114" t="s">
        <v>71</v>
      </c>
      <c r="J114" t="s">
        <v>58</v>
      </c>
      <c r="K114" t="s">
        <v>72</v>
      </c>
      <c r="L114">
        <v>83.86</v>
      </c>
      <c r="M114" t="s">
        <v>45</v>
      </c>
      <c r="N114" t="s">
        <v>46</v>
      </c>
      <c r="O114" t="s">
        <v>47</v>
      </c>
      <c r="P114" t="s">
        <v>43</v>
      </c>
      <c r="Q114">
        <v>1</v>
      </c>
      <c r="R114">
        <v>75</v>
      </c>
      <c r="S114">
        <v>8.86</v>
      </c>
      <c r="T114">
        <v>0</v>
      </c>
      <c r="U114">
        <v>0</v>
      </c>
      <c r="V114" t="s">
        <v>48</v>
      </c>
      <c r="W114">
        <v>0</v>
      </c>
      <c r="X114">
        <v>0</v>
      </c>
      <c r="Y114" t="s">
        <v>67</v>
      </c>
      <c r="Z114" t="s">
        <v>32</v>
      </c>
    </row>
    <row r="115" spans="1:26" x14ac:dyDescent="0.35">
      <c r="A115" t="s">
        <v>315</v>
      </c>
      <c r="B115" s="2">
        <v>45792</v>
      </c>
      <c r="C115">
        <v>2025</v>
      </c>
      <c r="D115">
        <v>5</v>
      </c>
      <c r="E115" t="s">
        <v>113</v>
      </c>
      <c r="F115" t="s">
        <v>538</v>
      </c>
      <c r="G115" t="s">
        <v>91</v>
      </c>
      <c r="H115" t="s">
        <v>92</v>
      </c>
      <c r="I115" t="s">
        <v>93</v>
      </c>
      <c r="J115" t="s">
        <v>54</v>
      </c>
      <c r="K115" t="s">
        <v>55</v>
      </c>
      <c r="L115">
        <v>202.62</v>
      </c>
      <c r="M115" t="s">
        <v>45</v>
      </c>
      <c r="N115" t="s">
        <v>46</v>
      </c>
      <c r="O115" t="s">
        <v>47</v>
      </c>
      <c r="P115" t="s">
        <v>58</v>
      </c>
      <c r="Q115">
        <v>0</v>
      </c>
      <c r="R115">
        <v>300</v>
      </c>
      <c r="S115">
        <v>0</v>
      </c>
      <c r="T115">
        <v>0</v>
      </c>
      <c r="U115">
        <v>0</v>
      </c>
      <c r="V115" t="s">
        <v>48</v>
      </c>
      <c r="W115">
        <v>0</v>
      </c>
      <c r="X115">
        <v>0</v>
      </c>
      <c r="Y115" t="s">
        <v>49</v>
      </c>
      <c r="Z115" t="s">
        <v>49</v>
      </c>
    </row>
    <row r="116" spans="1:26" x14ac:dyDescent="0.35">
      <c r="A116" t="s">
        <v>316</v>
      </c>
      <c r="B116" s="2">
        <v>45978</v>
      </c>
      <c r="C116">
        <v>2025</v>
      </c>
      <c r="D116">
        <v>11</v>
      </c>
      <c r="E116" t="s">
        <v>132</v>
      </c>
      <c r="F116" t="s">
        <v>540</v>
      </c>
      <c r="G116" t="s">
        <v>118</v>
      </c>
      <c r="H116" t="s">
        <v>119</v>
      </c>
      <c r="I116" t="s">
        <v>42</v>
      </c>
      <c r="J116" t="s">
        <v>54</v>
      </c>
      <c r="K116" t="s">
        <v>72</v>
      </c>
      <c r="L116">
        <v>51.85</v>
      </c>
      <c r="M116" t="s">
        <v>45</v>
      </c>
      <c r="N116" t="s">
        <v>136</v>
      </c>
      <c r="O116" t="s">
        <v>57</v>
      </c>
      <c r="P116" t="s">
        <v>58</v>
      </c>
      <c r="Q116">
        <v>0</v>
      </c>
      <c r="R116">
        <v>75</v>
      </c>
      <c r="S116">
        <v>0</v>
      </c>
      <c r="T116">
        <v>0</v>
      </c>
      <c r="U116">
        <v>0</v>
      </c>
      <c r="V116" t="s">
        <v>48</v>
      </c>
      <c r="W116">
        <v>0</v>
      </c>
      <c r="X116">
        <v>0</v>
      </c>
      <c r="Y116" t="s">
        <v>49</v>
      </c>
      <c r="Z116" t="s">
        <v>49</v>
      </c>
    </row>
    <row r="117" spans="1:26" x14ac:dyDescent="0.35">
      <c r="A117" t="s">
        <v>317</v>
      </c>
      <c r="B117" s="2">
        <v>45721</v>
      </c>
      <c r="C117">
        <v>2025</v>
      </c>
      <c r="D117">
        <v>3</v>
      </c>
      <c r="E117" t="s">
        <v>135</v>
      </c>
      <c r="F117" t="s">
        <v>541</v>
      </c>
      <c r="G117" t="s">
        <v>214</v>
      </c>
      <c r="H117" t="s">
        <v>215</v>
      </c>
      <c r="I117" t="s">
        <v>86</v>
      </c>
      <c r="J117" t="s">
        <v>43</v>
      </c>
      <c r="K117" t="s">
        <v>55</v>
      </c>
      <c r="L117">
        <v>184.05</v>
      </c>
      <c r="M117" t="s">
        <v>45</v>
      </c>
      <c r="N117" t="s">
        <v>144</v>
      </c>
      <c r="O117" t="s">
        <v>66</v>
      </c>
      <c r="P117" t="s">
        <v>137</v>
      </c>
      <c r="Q117">
        <v>0</v>
      </c>
      <c r="R117">
        <v>300</v>
      </c>
      <c r="S117">
        <v>0</v>
      </c>
      <c r="T117">
        <v>0</v>
      </c>
      <c r="U117">
        <v>0</v>
      </c>
      <c r="V117" t="s">
        <v>48</v>
      </c>
      <c r="W117">
        <v>0</v>
      </c>
      <c r="X117">
        <v>0</v>
      </c>
      <c r="Y117" t="s">
        <v>49</v>
      </c>
      <c r="Z117" t="s">
        <v>49</v>
      </c>
    </row>
    <row r="118" spans="1:26" x14ac:dyDescent="0.35">
      <c r="A118" t="s">
        <v>318</v>
      </c>
      <c r="B118" s="2">
        <v>45805</v>
      </c>
      <c r="C118">
        <v>2025</v>
      </c>
      <c r="D118">
        <v>5</v>
      </c>
      <c r="E118" t="s">
        <v>113</v>
      </c>
      <c r="F118" t="s">
        <v>538</v>
      </c>
      <c r="G118" t="s">
        <v>61</v>
      </c>
      <c r="H118" t="s">
        <v>62</v>
      </c>
      <c r="I118" t="s">
        <v>63</v>
      </c>
      <c r="J118" t="s">
        <v>54</v>
      </c>
      <c r="K118" t="s">
        <v>55</v>
      </c>
      <c r="L118">
        <v>232.67</v>
      </c>
      <c r="M118" t="s">
        <v>45</v>
      </c>
      <c r="N118" t="s">
        <v>136</v>
      </c>
      <c r="O118" t="s">
        <v>57</v>
      </c>
      <c r="P118" t="s">
        <v>54</v>
      </c>
      <c r="Q118">
        <v>0</v>
      </c>
      <c r="R118">
        <v>300</v>
      </c>
      <c r="S118">
        <v>0</v>
      </c>
      <c r="T118">
        <v>0</v>
      </c>
      <c r="U118">
        <v>0</v>
      </c>
      <c r="V118" t="s">
        <v>48</v>
      </c>
      <c r="W118">
        <v>0</v>
      </c>
      <c r="X118">
        <v>0</v>
      </c>
      <c r="Y118" t="s">
        <v>49</v>
      </c>
      <c r="Z118" t="s">
        <v>49</v>
      </c>
    </row>
    <row r="119" spans="1:26" x14ac:dyDescent="0.35">
      <c r="A119" t="s">
        <v>319</v>
      </c>
      <c r="B119" s="2">
        <v>45863</v>
      </c>
      <c r="C119">
        <v>2025</v>
      </c>
      <c r="D119">
        <v>7</v>
      </c>
      <c r="E119" t="s">
        <v>60</v>
      </c>
      <c r="F119" t="s">
        <v>533</v>
      </c>
      <c r="G119" t="s">
        <v>320</v>
      </c>
      <c r="H119" t="s">
        <v>321</v>
      </c>
      <c r="I119" t="s">
        <v>80</v>
      </c>
      <c r="J119" t="s">
        <v>43</v>
      </c>
      <c r="K119" t="s">
        <v>108</v>
      </c>
      <c r="L119">
        <v>736.76</v>
      </c>
      <c r="M119" t="s">
        <v>45</v>
      </c>
      <c r="N119" t="s">
        <v>104</v>
      </c>
      <c r="O119" t="s">
        <v>105</v>
      </c>
      <c r="P119" t="s">
        <v>209</v>
      </c>
      <c r="Q119">
        <v>0</v>
      </c>
      <c r="R119">
        <v>800</v>
      </c>
      <c r="S119">
        <v>0</v>
      </c>
      <c r="T119">
        <v>0</v>
      </c>
      <c r="U119">
        <v>0</v>
      </c>
      <c r="V119" t="s">
        <v>48</v>
      </c>
      <c r="W119">
        <v>0</v>
      </c>
      <c r="X119">
        <v>0</v>
      </c>
      <c r="Y119" t="s">
        <v>49</v>
      </c>
      <c r="Z119" t="s">
        <v>49</v>
      </c>
    </row>
    <row r="120" spans="1:26" x14ac:dyDescent="0.35">
      <c r="A120" t="s">
        <v>322</v>
      </c>
      <c r="B120" s="2">
        <v>45845</v>
      </c>
      <c r="C120">
        <v>2025</v>
      </c>
      <c r="D120">
        <v>7</v>
      </c>
      <c r="E120" t="s">
        <v>60</v>
      </c>
      <c r="F120" t="s">
        <v>533</v>
      </c>
      <c r="G120" t="s">
        <v>323</v>
      </c>
      <c r="H120" t="s">
        <v>324</v>
      </c>
      <c r="I120" t="s">
        <v>63</v>
      </c>
      <c r="J120" t="s">
        <v>54</v>
      </c>
      <c r="K120" t="s">
        <v>87</v>
      </c>
      <c r="L120">
        <v>28.08</v>
      </c>
      <c r="M120" t="s">
        <v>45</v>
      </c>
      <c r="N120" t="s">
        <v>325</v>
      </c>
      <c r="O120" t="s">
        <v>110</v>
      </c>
      <c r="P120" t="s">
        <v>54</v>
      </c>
      <c r="Q120">
        <v>0</v>
      </c>
      <c r="R120">
        <v>50</v>
      </c>
      <c r="S120">
        <v>0</v>
      </c>
      <c r="T120">
        <v>1</v>
      </c>
      <c r="U120">
        <v>28.08</v>
      </c>
      <c r="V120" t="s">
        <v>33</v>
      </c>
      <c r="W120">
        <v>0</v>
      </c>
      <c r="X120">
        <v>0</v>
      </c>
      <c r="Y120" t="s">
        <v>67</v>
      </c>
      <c r="Z120" t="s">
        <v>33</v>
      </c>
    </row>
    <row r="121" spans="1:26" x14ac:dyDescent="0.35">
      <c r="A121" t="s">
        <v>326</v>
      </c>
      <c r="B121" s="2">
        <v>45861</v>
      </c>
      <c r="C121">
        <v>2025</v>
      </c>
      <c r="D121">
        <v>7</v>
      </c>
      <c r="E121" t="s">
        <v>60</v>
      </c>
      <c r="F121" t="s">
        <v>533</v>
      </c>
      <c r="G121" t="s">
        <v>147</v>
      </c>
      <c r="H121" t="s">
        <v>148</v>
      </c>
      <c r="I121" t="s">
        <v>93</v>
      </c>
      <c r="J121" t="s">
        <v>54</v>
      </c>
      <c r="K121" t="s">
        <v>44</v>
      </c>
      <c r="L121">
        <v>177.8</v>
      </c>
      <c r="M121" t="s">
        <v>73</v>
      </c>
      <c r="N121" t="s">
        <v>46</v>
      </c>
      <c r="O121" t="s">
        <v>47</v>
      </c>
      <c r="P121" t="s">
        <v>156</v>
      </c>
      <c r="Q121">
        <v>1</v>
      </c>
      <c r="R121">
        <v>150</v>
      </c>
      <c r="S121">
        <v>27.8</v>
      </c>
      <c r="T121">
        <v>0</v>
      </c>
      <c r="U121">
        <v>0</v>
      </c>
      <c r="V121" t="s">
        <v>48</v>
      </c>
      <c r="W121">
        <v>1</v>
      </c>
      <c r="X121">
        <v>177.8</v>
      </c>
      <c r="Y121" t="s">
        <v>67</v>
      </c>
      <c r="Z121" t="s">
        <v>220</v>
      </c>
    </row>
    <row r="122" spans="1:26" x14ac:dyDescent="0.35">
      <c r="A122" t="s">
        <v>327</v>
      </c>
      <c r="B122" s="2">
        <v>45881</v>
      </c>
      <c r="C122">
        <v>2025</v>
      </c>
      <c r="D122">
        <v>8</v>
      </c>
      <c r="E122" t="s">
        <v>96</v>
      </c>
      <c r="F122" t="s">
        <v>536</v>
      </c>
      <c r="G122" t="s">
        <v>189</v>
      </c>
      <c r="H122" t="s">
        <v>190</v>
      </c>
      <c r="I122" t="s">
        <v>93</v>
      </c>
      <c r="J122" t="s">
        <v>54</v>
      </c>
      <c r="K122" t="s">
        <v>108</v>
      </c>
      <c r="L122">
        <v>882.02</v>
      </c>
      <c r="M122" t="s">
        <v>45</v>
      </c>
      <c r="N122" t="s">
        <v>175</v>
      </c>
      <c r="O122" t="s">
        <v>57</v>
      </c>
      <c r="P122" t="s">
        <v>106</v>
      </c>
      <c r="Q122">
        <v>1</v>
      </c>
      <c r="R122">
        <v>800</v>
      </c>
      <c r="S122">
        <v>82.02</v>
      </c>
      <c r="T122">
        <v>0</v>
      </c>
      <c r="U122">
        <v>0</v>
      </c>
      <c r="V122" t="s">
        <v>48</v>
      </c>
      <c r="W122">
        <v>0</v>
      </c>
      <c r="X122">
        <v>0</v>
      </c>
      <c r="Y122" t="s">
        <v>67</v>
      </c>
      <c r="Z122" t="s">
        <v>32</v>
      </c>
    </row>
    <row r="123" spans="1:26" x14ac:dyDescent="0.35">
      <c r="A123" t="s">
        <v>328</v>
      </c>
      <c r="B123" s="2">
        <v>45775</v>
      </c>
      <c r="C123">
        <v>2025</v>
      </c>
      <c r="D123">
        <v>4</v>
      </c>
      <c r="E123" t="s">
        <v>77</v>
      </c>
      <c r="F123" t="s">
        <v>534</v>
      </c>
      <c r="G123" t="s">
        <v>40</v>
      </c>
      <c r="H123" t="s">
        <v>41</v>
      </c>
      <c r="I123" t="s">
        <v>42</v>
      </c>
      <c r="J123" t="s">
        <v>43</v>
      </c>
      <c r="K123" t="s">
        <v>64</v>
      </c>
      <c r="L123">
        <v>19.34</v>
      </c>
      <c r="M123" t="s">
        <v>45</v>
      </c>
      <c r="N123" t="s">
        <v>228</v>
      </c>
      <c r="O123" t="s">
        <v>47</v>
      </c>
      <c r="P123" t="s">
        <v>43</v>
      </c>
      <c r="Q123">
        <v>0</v>
      </c>
      <c r="R123">
        <v>30</v>
      </c>
      <c r="S123">
        <v>0</v>
      </c>
      <c r="T123">
        <v>0</v>
      </c>
      <c r="U123">
        <v>0</v>
      </c>
      <c r="V123" t="s">
        <v>48</v>
      </c>
      <c r="W123">
        <v>0</v>
      </c>
      <c r="X123">
        <v>0</v>
      </c>
      <c r="Y123" t="s">
        <v>49</v>
      </c>
      <c r="Z123" t="s">
        <v>49</v>
      </c>
    </row>
    <row r="124" spans="1:26" x14ac:dyDescent="0.35">
      <c r="A124" t="s">
        <v>329</v>
      </c>
      <c r="B124" s="2">
        <v>45852</v>
      </c>
      <c r="C124">
        <v>2025</v>
      </c>
      <c r="D124">
        <v>7</v>
      </c>
      <c r="E124" t="s">
        <v>60</v>
      </c>
      <c r="F124" t="s">
        <v>533</v>
      </c>
      <c r="G124" t="s">
        <v>252</v>
      </c>
      <c r="H124" t="s">
        <v>253</v>
      </c>
      <c r="I124" t="s">
        <v>42</v>
      </c>
      <c r="J124" t="s">
        <v>43</v>
      </c>
      <c r="K124" t="s">
        <v>44</v>
      </c>
      <c r="L124">
        <v>97.06</v>
      </c>
      <c r="M124" t="s">
        <v>73</v>
      </c>
      <c r="N124" t="s">
        <v>116</v>
      </c>
      <c r="O124" t="s">
        <v>57</v>
      </c>
      <c r="P124" t="s">
        <v>137</v>
      </c>
      <c r="Q124">
        <v>0</v>
      </c>
      <c r="R124">
        <v>150</v>
      </c>
      <c r="S124">
        <v>0</v>
      </c>
      <c r="T124">
        <v>0</v>
      </c>
      <c r="U124">
        <v>0</v>
      </c>
      <c r="V124" t="s">
        <v>48</v>
      </c>
      <c r="W124">
        <v>1</v>
      </c>
      <c r="X124">
        <v>97.06</v>
      </c>
      <c r="Y124" t="s">
        <v>67</v>
      </c>
      <c r="Z124" t="s">
        <v>73</v>
      </c>
    </row>
    <row r="125" spans="1:26" x14ac:dyDescent="0.35">
      <c r="A125" t="s">
        <v>330</v>
      </c>
      <c r="B125" s="2">
        <v>45758</v>
      </c>
      <c r="C125">
        <v>2025</v>
      </c>
      <c r="D125">
        <v>4</v>
      </c>
      <c r="E125" t="s">
        <v>77</v>
      </c>
      <c r="F125" t="s">
        <v>534</v>
      </c>
      <c r="G125" t="s">
        <v>173</v>
      </c>
      <c r="H125" t="s">
        <v>174</v>
      </c>
      <c r="I125" t="s">
        <v>93</v>
      </c>
      <c r="J125" t="s">
        <v>43</v>
      </c>
      <c r="K125" t="s">
        <v>87</v>
      </c>
      <c r="L125">
        <v>53.12</v>
      </c>
      <c r="M125" t="s">
        <v>45</v>
      </c>
      <c r="N125" t="s">
        <v>122</v>
      </c>
      <c r="O125" t="s">
        <v>100</v>
      </c>
      <c r="P125" t="s">
        <v>75</v>
      </c>
      <c r="Q125">
        <v>1</v>
      </c>
      <c r="R125">
        <v>50</v>
      </c>
      <c r="S125">
        <v>3.12</v>
      </c>
      <c r="T125">
        <v>0</v>
      </c>
      <c r="U125">
        <v>0</v>
      </c>
      <c r="V125" t="s">
        <v>48</v>
      </c>
      <c r="W125">
        <v>0</v>
      </c>
      <c r="X125">
        <v>0</v>
      </c>
      <c r="Y125" t="s">
        <v>67</v>
      </c>
      <c r="Z125" t="s">
        <v>32</v>
      </c>
    </row>
    <row r="126" spans="1:26" x14ac:dyDescent="0.35">
      <c r="A126" t="s">
        <v>331</v>
      </c>
      <c r="B126" s="2">
        <v>45938</v>
      </c>
      <c r="C126">
        <v>2025</v>
      </c>
      <c r="D126">
        <v>10</v>
      </c>
      <c r="E126" t="s">
        <v>39</v>
      </c>
      <c r="F126" t="s">
        <v>531</v>
      </c>
      <c r="G126" t="s">
        <v>198</v>
      </c>
      <c r="H126" t="s">
        <v>199</v>
      </c>
      <c r="I126" t="s">
        <v>71</v>
      </c>
      <c r="J126" t="s">
        <v>54</v>
      </c>
      <c r="K126" t="s">
        <v>87</v>
      </c>
      <c r="L126">
        <v>18.41</v>
      </c>
      <c r="M126" t="s">
        <v>73</v>
      </c>
      <c r="N126" t="s">
        <v>104</v>
      </c>
      <c r="O126" t="s">
        <v>105</v>
      </c>
      <c r="P126" t="s">
        <v>106</v>
      </c>
      <c r="Q126">
        <v>0</v>
      </c>
      <c r="R126">
        <v>50</v>
      </c>
      <c r="S126">
        <v>0</v>
      </c>
      <c r="T126">
        <v>0</v>
      </c>
      <c r="U126">
        <v>0</v>
      </c>
      <c r="V126" t="s">
        <v>48</v>
      </c>
      <c r="W126">
        <v>1</v>
      </c>
      <c r="X126">
        <v>18.41</v>
      </c>
      <c r="Y126" t="s">
        <v>67</v>
      </c>
      <c r="Z126" t="s">
        <v>73</v>
      </c>
    </row>
    <row r="127" spans="1:26" x14ac:dyDescent="0.35">
      <c r="A127" t="s">
        <v>332</v>
      </c>
      <c r="B127" s="2">
        <v>45729</v>
      </c>
      <c r="C127">
        <v>2025</v>
      </c>
      <c r="D127">
        <v>3</v>
      </c>
      <c r="E127" t="s">
        <v>135</v>
      </c>
      <c r="F127" t="s">
        <v>541</v>
      </c>
      <c r="G127" t="s">
        <v>61</v>
      </c>
      <c r="H127" t="s">
        <v>62</v>
      </c>
      <c r="I127" t="s">
        <v>63</v>
      </c>
      <c r="J127" t="s">
        <v>54</v>
      </c>
      <c r="K127" t="s">
        <v>64</v>
      </c>
      <c r="L127">
        <v>35.340000000000003</v>
      </c>
      <c r="M127" t="s">
        <v>45</v>
      </c>
      <c r="N127" t="s">
        <v>136</v>
      </c>
      <c r="O127" t="s">
        <v>57</v>
      </c>
      <c r="P127" t="s">
        <v>43</v>
      </c>
      <c r="Q127">
        <v>1</v>
      </c>
      <c r="R127">
        <v>30</v>
      </c>
      <c r="S127">
        <v>5.34</v>
      </c>
      <c r="T127">
        <v>0</v>
      </c>
      <c r="U127">
        <v>0</v>
      </c>
      <c r="V127" t="s">
        <v>48</v>
      </c>
      <c r="W127">
        <v>0</v>
      </c>
      <c r="X127">
        <v>0</v>
      </c>
      <c r="Y127" t="s">
        <v>67</v>
      </c>
      <c r="Z127" t="s">
        <v>32</v>
      </c>
    </row>
    <row r="128" spans="1:26" x14ac:dyDescent="0.35">
      <c r="A128" t="s">
        <v>333</v>
      </c>
      <c r="B128" s="2">
        <v>46006</v>
      </c>
      <c r="C128">
        <v>2025</v>
      </c>
      <c r="D128">
        <v>12</v>
      </c>
      <c r="E128" t="s">
        <v>103</v>
      </c>
      <c r="F128" t="s">
        <v>537</v>
      </c>
      <c r="G128" t="s">
        <v>141</v>
      </c>
      <c r="H128" t="s">
        <v>142</v>
      </c>
      <c r="I128" t="s">
        <v>71</v>
      </c>
      <c r="J128" t="s">
        <v>58</v>
      </c>
      <c r="K128" t="s">
        <v>87</v>
      </c>
      <c r="L128">
        <v>26.31</v>
      </c>
      <c r="M128" t="s">
        <v>45</v>
      </c>
      <c r="N128" t="s">
        <v>122</v>
      </c>
      <c r="O128" t="s">
        <v>100</v>
      </c>
      <c r="P128" t="s">
        <v>89</v>
      </c>
      <c r="Q128">
        <v>0</v>
      </c>
      <c r="R128">
        <v>50</v>
      </c>
      <c r="S128">
        <v>0</v>
      </c>
      <c r="T128">
        <v>0</v>
      </c>
      <c r="U128">
        <v>0</v>
      </c>
      <c r="V128" t="s">
        <v>48</v>
      </c>
      <c r="W128">
        <v>0</v>
      </c>
      <c r="X128">
        <v>0</v>
      </c>
      <c r="Y128" t="s">
        <v>49</v>
      </c>
      <c r="Z128" t="s">
        <v>49</v>
      </c>
    </row>
    <row r="129" spans="1:26" x14ac:dyDescent="0.35">
      <c r="A129" t="s">
        <v>334</v>
      </c>
      <c r="B129" s="2">
        <v>45762</v>
      </c>
      <c r="C129">
        <v>2025</v>
      </c>
      <c r="D129">
        <v>4</v>
      </c>
      <c r="E129" t="s">
        <v>77</v>
      </c>
      <c r="F129" t="s">
        <v>534</v>
      </c>
      <c r="G129" t="s">
        <v>162</v>
      </c>
      <c r="H129" t="s">
        <v>163</v>
      </c>
      <c r="I129" t="s">
        <v>63</v>
      </c>
      <c r="J129" t="s">
        <v>58</v>
      </c>
      <c r="K129" t="s">
        <v>81</v>
      </c>
      <c r="L129">
        <v>69.66</v>
      </c>
      <c r="M129" t="s">
        <v>45</v>
      </c>
      <c r="N129" t="s">
        <v>226</v>
      </c>
      <c r="O129" t="s">
        <v>66</v>
      </c>
      <c r="P129" t="s">
        <v>223</v>
      </c>
      <c r="Q129">
        <v>0</v>
      </c>
      <c r="R129">
        <v>75</v>
      </c>
      <c r="S129">
        <v>0</v>
      </c>
      <c r="T129">
        <v>0</v>
      </c>
      <c r="U129">
        <v>0</v>
      </c>
      <c r="V129" t="s">
        <v>48</v>
      </c>
      <c r="W129">
        <v>0</v>
      </c>
      <c r="X129">
        <v>0</v>
      </c>
      <c r="Y129" t="s">
        <v>49</v>
      </c>
      <c r="Z129" t="s">
        <v>49</v>
      </c>
    </row>
    <row r="130" spans="1:26" x14ac:dyDescent="0.35">
      <c r="A130" t="s">
        <v>335</v>
      </c>
      <c r="B130" s="2">
        <v>45706</v>
      </c>
      <c r="C130">
        <v>2025</v>
      </c>
      <c r="D130">
        <v>2</v>
      </c>
      <c r="E130" t="s">
        <v>51</v>
      </c>
      <c r="F130" t="s">
        <v>532</v>
      </c>
      <c r="G130" t="s">
        <v>336</v>
      </c>
      <c r="H130" t="s">
        <v>337</v>
      </c>
      <c r="I130" t="s">
        <v>71</v>
      </c>
      <c r="J130" t="s">
        <v>43</v>
      </c>
      <c r="K130" t="s">
        <v>108</v>
      </c>
      <c r="L130">
        <v>821.99</v>
      </c>
      <c r="M130" t="s">
        <v>45</v>
      </c>
      <c r="N130" t="s">
        <v>144</v>
      </c>
      <c r="O130" t="s">
        <v>66</v>
      </c>
      <c r="P130" t="s">
        <v>209</v>
      </c>
      <c r="Q130">
        <v>1</v>
      </c>
      <c r="R130">
        <v>800</v>
      </c>
      <c r="S130">
        <v>21.99</v>
      </c>
      <c r="T130">
        <v>0</v>
      </c>
      <c r="U130">
        <v>0</v>
      </c>
      <c r="V130" t="s">
        <v>48</v>
      </c>
      <c r="W130">
        <v>0</v>
      </c>
      <c r="X130">
        <v>0</v>
      </c>
      <c r="Y130" t="s">
        <v>67</v>
      </c>
      <c r="Z130" t="s">
        <v>32</v>
      </c>
    </row>
    <row r="131" spans="1:26" x14ac:dyDescent="0.35">
      <c r="A131" t="s">
        <v>338</v>
      </c>
      <c r="B131" s="2">
        <v>45847</v>
      </c>
      <c r="C131">
        <v>2025</v>
      </c>
      <c r="D131">
        <v>7</v>
      </c>
      <c r="E131" t="s">
        <v>60</v>
      </c>
      <c r="F131" t="s">
        <v>533</v>
      </c>
      <c r="G131" t="s">
        <v>180</v>
      </c>
      <c r="H131" t="s">
        <v>181</v>
      </c>
      <c r="I131" t="s">
        <v>63</v>
      </c>
      <c r="J131" t="s">
        <v>54</v>
      </c>
      <c r="K131" t="s">
        <v>81</v>
      </c>
      <c r="L131">
        <v>63.5</v>
      </c>
      <c r="M131" t="s">
        <v>45</v>
      </c>
      <c r="N131" t="s">
        <v>99</v>
      </c>
      <c r="O131" t="s">
        <v>100</v>
      </c>
      <c r="P131" t="s">
        <v>111</v>
      </c>
      <c r="Q131">
        <v>0</v>
      </c>
      <c r="R131">
        <v>75</v>
      </c>
      <c r="S131">
        <v>0</v>
      </c>
      <c r="T131">
        <v>0</v>
      </c>
      <c r="U131">
        <v>0</v>
      </c>
      <c r="V131" t="s">
        <v>48</v>
      </c>
      <c r="W131">
        <v>0</v>
      </c>
      <c r="X131">
        <v>0</v>
      </c>
      <c r="Y131" t="s">
        <v>49</v>
      </c>
      <c r="Z131" t="s">
        <v>49</v>
      </c>
    </row>
    <row r="132" spans="1:26" x14ac:dyDescent="0.35">
      <c r="A132" t="s">
        <v>339</v>
      </c>
      <c r="B132" s="2">
        <v>45679</v>
      </c>
      <c r="C132">
        <v>2025</v>
      </c>
      <c r="D132">
        <v>1</v>
      </c>
      <c r="E132" t="s">
        <v>169</v>
      </c>
      <c r="F132" t="s">
        <v>542</v>
      </c>
      <c r="G132" t="s">
        <v>173</v>
      </c>
      <c r="H132" t="s">
        <v>174</v>
      </c>
      <c r="I132" t="s">
        <v>93</v>
      </c>
      <c r="J132" t="s">
        <v>43</v>
      </c>
      <c r="K132" t="s">
        <v>87</v>
      </c>
      <c r="L132">
        <v>58.08</v>
      </c>
      <c r="M132" t="s">
        <v>73</v>
      </c>
      <c r="N132" t="s">
        <v>122</v>
      </c>
      <c r="O132" t="s">
        <v>100</v>
      </c>
      <c r="P132" t="s">
        <v>89</v>
      </c>
      <c r="Q132">
        <v>1</v>
      </c>
      <c r="R132">
        <v>50</v>
      </c>
      <c r="S132">
        <v>8.08</v>
      </c>
      <c r="T132">
        <v>0</v>
      </c>
      <c r="U132">
        <v>0</v>
      </c>
      <c r="V132" t="s">
        <v>48</v>
      </c>
      <c r="W132">
        <v>1</v>
      </c>
      <c r="X132">
        <v>58.08</v>
      </c>
      <c r="Y132" t="s">
        <v>67</v>
      </c>
      <c r="Z132" t="s">
        <v>220</v>
      </c>
    </row>
    <row r="133" spans="1:26" x14ac:dyDescent="0.35">
      <c r="A133" t="s">
        <v>340</v>
      </c>
      <c r="B133" s="2">
        <v>45912</v>
      </c>
      <c r="C133">
        <v>2025</v>
      </c>
      <c r="D133">
        <v>9</v>
      </c>
      <c r="E133" t="s">
        <v>121</v>
      </c>
      <c r="F133" t="s">
        <v>539</v>
      </c>
      <c r="G133" t="s">
        <v>147</v>
      </c>
      <c r="H133" t="s">
        <v>148</v>
      </c>
      <c r="I133" t="s">
        <v>93</v>
      </c>
      <c r="J133" t="s">
        <v>54</v>
      </c>
      <c r="K133" t="s">
        <v>108</v>
      </c>
      <c r="L133">
        <v>611.46</v>
      </c>
      <c r="M133" t="s">
        <v>45</v>
      </c>
      <c r="N133" t="s">
        <v>175</v>
      </c>
      <c r="O133" t="s">
        <v>57</v>
      </c>
      <c r="P133" t="s">
        <v>106</v>
      </c>
      <c r="Q133">
        <v>0</v>
      </c>
      <c r="R133">
        <v>800</v>
      </c>
      <c r="S133">
        <v>0</v>
      </c>
      <c r="T133">
        <v>0</v>
      </c>
      <c r="U133">
        <v>0</v>
      </c>
      <c r="V133" t="s">
        <v>48</v>
      </c>
      <c r="W133">
        <v>0</v>
      </c>
      <c r="X133">
        <v>0</v>
      </c>
      <c r="Y133" t="s">
        <v>49</v>
      </c>
      <c r="Z133" t="s">
        <v>49</v>
      </c>
    </row>
    <row r="134" spans="1:26" x14ac:dyDescent="0.35">
      <c r="A134" t="s">
        <v>341</v>
      </c>
      <c r="B134" s="2">
        <v>45864</v>
      </c>
      <c r="C134">
        <v>2025</v>
      </c>
      <c r="D134">
        <v>7</v>
      </c>
      <c r="E134" t="s">
        <v>60</v>
      </c>
      <c r="F134" t="s">
        <v>533</v>
      </c>
      <c r="G134" t="s">
        <v>61</v>
      </c>
      <c r="H134" t="s">
        <v>62</v>
      </c>
      <c r="I134" t="s">
        <v>63</v>
      </c>
      <c r="J134" t="s">
        <v>54</v>
      </c>
      <c r="K134" t="s">
        <v>72</v>
      </c>
      <c r="L134">
        <v>22.89</v>
      </c>
      <c r="M134" t="s">
        <v>45</v>
      </c>
      <c r="N134" t="s">
        <v>182</v>
      </c>
      <c r="O134" t="s">
        <v>47</v>
      </c>
      <c r="P134" t="s">
        <v>54</v>
      </c>
      <c r="Q134">
        <v>0</v>
      </c>
      <c r="R134">
        <v>75</v>
      </c>
      <c r="S134">
        <v>0</v>
      </c>
      <c r="T134">
        <v>0</v>
      </c>
      <c r="U134">
        <v>0</v>
      </c>
      <c r="V134" t="s">
        <v>48</v>
      </c>
      <c r="W134">
        <v>0</v>
      </c>
      <c r="X134">
        <v>0</v>
      </c>
      <c r="Y134" t="s">
        <v>49</v>
      </c>
      <c r="Z134" t="s">
        <v>49</v>
      </c>
    </row>
    <row r="135" spans="1:26" x14ac:dyDescent="0.35">
      <c r="A135" t="s">
        <v>342</v>
      </c>
      <c r="B135" s="2">
        <v>45730</v>
      </c>
      <c r="C135">
        <v>2025</v>
      </c>
      <c r="D135">
        <v>3</v>
      </c>
      <c r="E135" t="s">
        <v>135</v>
      </c>
      <c r="F135" t="s">
        <v>541</v>
      </c>
      <c r="G135" t="s">
        <v>252</v>
      </c>
      <c r="H135" t="s">
        <v>253</v>
      </c>
      <c r="I135" t="s">
        <v>42</v>
      </c>
      <c r="J135" t="s">
        <v>43</v>
      </c>
      <c r="K135" t="s">
        <v>81</v>
      </c>
      <c r="L135">
        <v>32.79</v>
      </c>
      <c r="M135" t="s">
        <v>73</v>
      </c>
      <c r="N135" t="s">
        <v>160</v>
      </c>
      <c r="O135" t="s">
        <v>105</v>
      </c>
      <c r="P135" t="s">
        <v>54</v>
      </c>
      <c r="Q135">
        <v>0</v>
      </c>
      <c r="R135">
        <v>75</v>
      </c>
      <c r="S135">
        <v>0</v>
      </c>
      <c r="T135">
        <v>0</v>
      </c>
      <c r="U135">
        <v>0</v>
      </c>
      <c r="V135" t="s">
        <v>48</v>
      </c>
      <c r="W135">
        <v>1</v>
      </c>
      <c r="X135">
        <v>32.79</v>
      </c>
      <c r="Y135" t="s">
        <v>67</v>
      </c>
      <c r="Z135" t="s">
        <v>73</v>
      </c>
    </row>
    <row r="136" spans="1:26" x14ac:dyDescent="0.35">
      <c r="A136" t="s">
        <v>343</v>
      </c>
      <c r="B136" s="2">
        <v>45979</v>
      </c>
      <c r="C136">
        <v>2025</v>
      </c>
      <c r="D136">
        <v>11</v>
      </c>
      <c r="E136" t="s">
        <v>132</v>
      </c>
      <c r="F136" t="s">
        <v>540</v>
      </c>
      <c r="G136" t="s">
        <v>61</v>
      </c>
      <c r="H136" t="s">
        <v>62</v>
      </c>
      <c r="I136" t="s">
        <v>63</v>
      </c>
      <c r="J136" t="s">
        <v>54</v>
      </c>
      <c r="K136" t="s">
        <v>81</v>
      </c>
      <c r="L136">
        <v>65.430000000000007</v>
      </c>
      <c r="M136" t="s">
        <v>73</v>
      </c>
      <c r="N136" t="s">
        <v>250</v>
      </c>
      <c r="O136" t="s">
        <v>110</v>
      </c>
      <c r="P136" t="s">
        <v>75</v>
      </c>
      <c r="Q136">
        <v>0</v>
      </c>
      <c r="R136">
        <v>75</v>
      </c>
      <c r="S136">
        <v>0</v>
      </c>
      <c r="T136">
        <v>0</v>
      </c>
      <c r="U136">
        <v>0</v>
      </c>
      <c r="V136" t="s">
        <v>48</v>
      </c>
      <c r="W136">
        <v>1</v>
      </c>
      <c r="X136">
        <v>65.430000000000007</v>
      </c>
      <c r="Y136" t="s">
        <v>67</v>
      </c>
      <c r="Z136" t="s">
        <v>73</v>
      </c>
    </row>
    <row r="137" spans="1:26" x14ac:dyDescent="0.35">
      <c r="A137" t="s">
        <v>344</v>
      </c>
      <c r="B137" s="2">
        <v>45852</v>
      </c>
      <c r="C137">
        <v>2025</v>
      </c>
      <c r="D137">
        <v>7</v>
      </c>
      <c r="E137" t="s">
        <v>60</v>
      </c>
      <c r="F137" t="s">
        <v>533</v>
      </c>
      <c r="G137" t="s">
        <v>127</v>
      </c>
      <c r="H137" t="s">
        <v>128</v>
      </c>
      <c r="I137" t="s">
        <v>63</v>
      </c>
      <c r="J137" t="s">
        <v>54</v>
      </c>
      <c r="K137" t="s">
        <v>108</v>
      </c>
      <c r="L137">
        <v>506.33</v>
      </c>
      <c r="M137" t="s">
        <v>45</v>
      </c>
      <c r="N137" t="s">
        <v>293</v>
      </c>
      <c r="O137" t="s">
        <v>57</v>
      </c>
      <c r="P137" t="s">
        <v>137</v>
      </c>
      <c r="Q137">
        <v>0</v>
      </c>
      <c r="R137">
        <v>800</v>
      </c>
      <c r="S137">
        <v>0</v>
      </c>
      <c r="T137">
        <v>0</v>
      </c>
      <c r="U137">
        <v>0</v>
      </c>
      <c r="V137" t="s">
        <v>48</v>
      </c>
      <c r="W137">
        <v>0</v>
      </c>
      <c r="X137">
        <v>0</v>
      </c>
      <c r="Y137" t="s">
        <v>49</v>
      </c>
      <c r="Z137" t="s">
        <v>49</v>
      </c>
    </row>
    <row r="138" spans="1:26" x14ac:dyDescent="0.35">
      <c r="A138" t="s">
        <v>345</v>
      </c>
      <c r="B138" s="2">
        <v>45730</v>
      </c>
      <c r="C138">
        <v>2025</v>
      </c>
      <c r="D138">
        <v>3</v>
      </c>
      <c r="E138" t="s">
        <v>135</v>
      </c>
      <c r="F138" t="s">
        <v>541</v>
      </c>
      <c r="G138" t="s">
        <v>162</v>
      </c>
      <c r="H138" t="s">
        <v>163</v>
      </c>
      <c r="I138" t="s">
        <v>63</v>
      </c>
      <c r="J138" t="s">
        <v>58</v>
      </c>
      <c r="K138" t="s">
        <v>108</v>
      </c>
      <c r="L138">
        <v>465.82</v>
      </c>
      <c r="M138" t="s">
        <v>45</v>
      </c>
      <c r="N138" t="s">
        <v>293</v>
      </c>
      <c r="O138" t="s">
        <v>57</v>
      </c>
      <c r="P138" t="s">
        <v>239</v>
      </c>
      <c r="Q138">
        <v>0</v>
      </c>
      <c r="R138">
        <v>800</v>
      </c>
      <c r="S138">
        <v>0</v>
      </c>
      <c r="T138">
        <v>0</v>
      </c>
      <c r="U138">
        <v>0</v>
      </c>
      <c r="V138" t="s">
        <v>48</v>
      </c>
      <c r="W138">
        <v>0</v>
      </c>
      <c r="X138">
        <v>0</v>
      </c>
      <c r="Y138" t="s">
        <v>49</v>
      </c>
      <c r="Z138" t="s">
        <v>49</v>
      </c>
    </row>
    <row r="139" spans="1:26" x14ac:dyDescent="0.35">
      <c r="A139" t="s">
        <v>346</v>
      </c>
      <c r="B139" s="2">
        <v>45870</v>
      </c>
      <c r="C139">
        <v>2025</v>
      </c>
      <c r="D139">
        <v>8</v>
      </c>
      <c r="E139" t="s">
        <v>96</v>
      </c>
      <c r="F139" t="s">
        <v>536</v>
      </c>
      <c r="G139" t="s">
        <v>266</v>
      </c>
      <c r="H139" t="s">
        <v>267</v>
      </c>
      <c r="I139" t="s">
        <v>42</v>
      </c>
      <c r="J139" t="s">
        <v>54</v>
      </c>
      <c r="K139" t="s">
        <v>87</v>
      </c>
      <c r="L139">
        <v>46.2</v>
      </c>
      <c r="M139" t="s">
        <v>45</v>
      </c>
      <c r="N139" t="s">
        <v>139</v>
      </c>
      <c r="O139" t="s">
        <v>100</v>
      </c>
      <c r="P139" t="s">
        <v>94</v>
      </c>
      <c r="Q139">
        <v>0</v>
      </c>
      <c r="R139">
        <v>50</v>
      </c>
      <c r="S139">
        <v>0</v>
      </c>
      <c r="T139">
        <v>0</v>
      </c>
      <c r="U139">
        <v>0</v>
      </c>
      <c r="V139" t="s">
        <v>48</v>
      </c>
      <c r="W139">
        <v>0</v>
      </c>
      <c r="X139">
        <v>0</v>
      </c>
      <c r="Y139" t="s">
        <v>49</v>
      </c>
      <c r="Z139" t="s">
        <v>49</v>
      </c>
    </row>
    <row r="140" spans="1:26" x14ac:dyDescent="0.35">
      <c r="A140" t="s">
        <v>347</v>
      </c>
      <c r="B140" s="2">
        <v>45723</v>
      </c>
      <c r="C140">
        <v>2025</v>
      </c>
      <c r="D140">
        <v>3</v>
      </c>
      <c r="E140" t="s">
        <v>135</v>
      </c>
      <c r="F140" t="s">
        <v>541</v>
      </c>
      <c r="G140" t="s">
        <v>184</v>
      </c>
      <c r="H140" t="s">
        <v>185</v>
      </c>
      <c r="I140" t="s">
        <v>93</v>
      </c>
      <c r="J140" t="s">
        <v>43</v>
      </c>
      <c r="K140" t="s">
        <v>87</v>
      </c>
      <c r="L140">
        <v>60.86</v>
      </c>
      <c r="M140" t="s">
        <v>45</v>
      </c>
      <c r="N140" t="s">
        <v>231</v>
      </c>
      <c r="O140" t="s">
        <v>57</v>
      </c>
      <c r="P140" t="s">
        <v>209</v>
      </c>
      <c r="Q140">
        <v>1</v>
      </c>
      <c r="R140">
        <v>50</v>
      </c>
      <c r="S140">
        <v>10.86</v>
      </c>
      <c r="T140">
        <v>0</v>
      </c>
      <c r="U140">
        <v>0</v>
      </c>
      <c r="V140" t="s">
        <v>48</v>
      </c>
      <c r="W140">
        <v>0</v>
      </c>
      <c r="X140">
        <v>0</v>
      </c>
      <c r="Y140" t="s">
        <v>67</v>
      </c>
      <c r="Z140" t="s">
        <v>32</v>
      </c>
    </row>
    <row r="141" spans="1:26" x14ac:dyDescent="0.35">
      <c r="A141" t="s">
        <v>348</v>
      </c>
      <c r="B141" s="2">
        <v>45862</v>
      </c>
      <c r="C141">
        <v>2025</v>
      </c>
      <c r="D141">
        <v>7</v>
      </c>
      <c r="E141" t="s">
        <v>60</v>
      </c>
      <c r="F141" t="s">
        <v>533</v>
      </c>
      <c r="G141" t="s">
        <v>141</v>
      </c>
      <c r="H141" t="s">
        <v>142</v>
      </c>
      <c r="I141" t="s">
        <v>71</v>
      </c>
      <c r="J141" t="s">
        <v>58</v>
      </c>
      <c r="K141" t="s">
        <v>108</v>
      </c>
      <c r="L141">
        <v>458.36</v>
      </c>
      <c r="M141" t="s">
        <v>45</v>
      </c>
      <c r="N141" t="s">
        <v>104</v>
      </c>
      <c r="O141" t="s">
        <v>105</v>
      </c>
      <c r="P141" t="s">
        <v>58</v>
      </c>
      <c r="Q141">
        <v>0</v>
      </c>
      <c r="R141">
        <v>800</v>
      </c>
      <c r="S141">
        <v>0</v>
      </c>
      <c r="T141">
        <v>0</v>
      </c>
      <c r="U141">
        <v>0</v>
      </c>
      <c r="V141" t="s">
        <v>48</v>
      </c>
      <c r="W141">
        <v>0</v>
      </c>
      <c r="X141">
        <v>0</v>
      </c>
      <c r="Y141" t="s">
        <v>49</v>
      </c>
      <c r="Z141" t="s">
        <v>49</v>
      </c>
    </row>
    <row r="142" spans="1:26" x14ac:dyDescent="0.35">
      <c r="A142" t="s">
        <v>349</v>
      </c>
      <c r="B142" s="2">
        <v>45958</v>
      </c>
      <c r="C142">
        <v>2025</v>
      </c>
      <c r="D142">
        <v>10</v>
      </c>
      <c r="E142" t="s">
        <v>39</v>
      </c>
      <c r="F142" t="s">
        <v>531</v>
      </c>
      <c r="G142" t="s">
        <v>244</v>
      </c>
      <c r="H142" t="s">
        <v>245</v>
      </c>
      <c r="I142" t="s">
        <v>63</v>
      </c>
      <c r="J142" t="s">
        <v>43</v>
      </c>
      <c r="K142" t="s">
        <v>44</v>
      </c>
      <c r="L142">
        <v>128.52000000000001</v>
      </c>
      <c r="M142" t="s">
        <v>45</v>
      </c>
      <c r="N142" t="s">
        <v>46</v>
      </c>
      <c r="O142" t="s">
        <v>47</v>
      </c>
      <c r="P142" t="s">
        <v>43</v>
      </c>
      <c r="Q142">
        <v>0</v>
      </c>
      <c r="R142">
        <v>150</v>
      </c>
      <c r="S142">
        <v>0</v>
      </c>
      <c r="T142">
        <v>0</v>
      </c>
      <c r="U142">
        <v>0</v>
      </c>
      <c r="V142" t="s">
        <v>48</v>
      </c>
      <c r="W142">
        <v>0</v>
      </c>
      <c r="X142">
        <v>0</v>
      </c>
      <c r="Y142" t="s">
        <v>49</v>
      </c>
      <c r="Z142" t="s">
        <v>49</v>
      </c>
    </row>
    <row r="143" spans="1:26" x14ac:dyDescent="0.35">
      <c r="A143" t="s">
        <v>350</v>
      </c>
      <c r="B143" s="2">
        <v>45812</v>
      </c>
      <c r="C143">
        <v>2025</v>
      </c>
      <c r="D143">
        <v>6</v>
      </c>
      <c r="E143" t="s">
        <v>83</v>
      </c>
      <c r="F143" t="s">
        <v>535</v>
      </c>
      <c r="G143" t="s">
        <v>173</v>
      </c>
      <c r="H143" t="s">
        <v>174</v>
      </c>
      <c r="I143" t="s">
        <v>93</v>
      </c>
      <c r="J143" t="s">
        <v>43</v>
      </c>
      <c r="K143" t="s">
        <v>87</v>
      </c>
      <c r="L143">
        <v>41.04</v>
      </c>
      <c r="M143" t="s">
        <v>45</v>
      </c>
      <c r="N143" t="s">
        <v>231</v>
      </c>
      <c r="O143" t="s">
        <v>57</v>
      </c>
      <c r="P143" t="s">
        <v>75</v>
      </c>
      <c r="Q143">
        <v>0</v>
      </c>
      <c r="R143">
        <v>50</v>
      </c>
      <c r="S143">
        <v>0</v>
      </c>
      <c r="T143">
        <v>0</v>
      </c>
      <c r="U143">
        <v>0</v>
      </c>
      <c r="V143" t="s">
        <v>48</v>
      </c>
      <c r="W143">
        <v>0</v>
      </c>
      <c r="X143">
        <v>0</v>
      </c>
      <c r="Y143" t="s">
        <v>49</v>
      </c>
      <c r="Z143" t="s">
        <v>49</v>
      </c>
    </row>
    <row r="144" spans="1:26" x14ac:dyDescent="0.35">
      <c r="A144" t="s">
        <v>351</v>
      </c>
      <c r="B144" s="2">
        <v>45905</v>
      </c>
      <c r="C144">
        <v>2025</v>
      </c>
      <c r="D144">
        <v>9</v>
      </c>
      <c r="E144" t="s">
        <v>121</v>
      </c>
      <c r="F144" t="s">
        <v>539</v>
      </c>
      <c r="G144" t="s">
        <v>162</v>
      </c>
      <c r="H144" t="s">
        <v>163</v>
      </c>
      <c r="I144" t="s">
        <v>63</v>
      </c>
      <c r="J144" t="s">
        <v>58</v>
      </c>
      <c r="K144" t="s">
        <v>55</v>
      </c>
      <c r="L144">
        <v>134.15</v>
      </c>
      <c r="M144" t="s">
        <v>45</v>
      </c>
      <c r="N144" t="s">
        <v>293</v>
      </c>
      <c r="O144" t="s">
        <v>57</v>
      </c>
      <c r="P144" t="s">
        <v>223</v>
      </c>
      <c r="Q144">
        <v>0</v>
      </c>
      <c r="R144">
        <v>300</v>
      </c>
      <c r="S144">
        <v>0</v>
      </c>
      <c r="T144">
        <v>0</v>
      </c>
      <c r="U144">
        <v>0</v>
      </c>
      <c r="V144" t="s">
        <v>48</v>
      </c>
      <c r="W144">
        <v>0</v>
      </c>
      <c r="X144">
        <v>0</v>
      </c>
      <c r="Y144" t="s">
        <v>49</v>
      </c>
      <c r="Z144" t="s">
        <v>49</v>
      </c>
    </row>
    <row r="145" spans="1:26" x14ac:dyDescent="0.35">
      <c r="A145" t="s">
        <v>352</v>
      </c>
      <c r="B145" s="2">
        <v>45742</v>
      </c>
      <c r="C145">
        <v>2025</v>
      </c>
      <c r="D145">
        <v>3</v>
      </c>
      <c r="E145" t="s">
        <v>135</v>
      </c>
      <c r="F145" t="s">
        <v>541</v>
      </c>
      <c r="G145" t="s">
        <v>189</v>
      </c>
      <c r="H145" t="s">
        <v>190</v>
      </c>
      <c r="I145" t="s">
        <v>93</v>
      </c>
      <c r="J145" t="s">
        <v>54</v>
      </c>
      <c r="K145" t="s">
        <v>44</v>
      </c>
      <c r="L145">
        <v>102.55</v>
      </c>
      <c r="M145" t="s">
        <v>45</v>
      </c>
      <c r="N145" t="s">
        <v>46</v>
      </c>
      <c r="O145" t="s">
        <v>47</v>
      </c>
      <c r="P145" t="s">
        <v>111</v>
      </c>
      <c r="Q145">
        <v>0</v>
      </c>
      <c r="R145">
        <v>150</v>
      </c>
      <c r="S145">
        <v>0</v>
      </c>
      <c r="T145">
        <v>0</v>
      </c>
      <c r="U145">
        <v>0</v>
      </c>
      <c r="V145" t="s">
        <v>48</v>
      </c>
      <c r="W145">
        <v>0</v>
      </c>
      <c r="X145">
        <v>0</v>
      </c>
      <c r="Y145" t="s">
        <v>49</v>
      </c>
      <c r="Z145" t="s">
        <v>49</v>
      </c>
    </row>
    <row r="146" spans="1:26" x14ac:dyDescent="0.35">
      <c r="A146" t="s">
        <v>353</v>
      </c>
      <c r="B146" s="2">
        <v>45811</v>
      </c>
      <c r="C146">
        <v>2025</v>
      </c>
      <c r="D146">
        <v>6</v>
      </c>
      <c r="E146" t="s">
        <v>83</v>
      </c>
      <c r="F146" t="s">
        <v>535</v>
      </c>
      <c r="G146" t="s">
        <v>195</v>
      </c>
      <c r="H146" t="s">
        <v>196</v>
      </c>
      <c r="I146" t="s">
        <v>71</v>
      </c>
      <c r="J146" t="s">
        <v>54</v>
      </c>
      <c r="K146" t="s">
        <v>81</v>
      </c>
      <c r="L146">
        <v>84.88</v>
      </c>
      <c r="M146" t="s">
        <v>45</v>
      </c>
      <c r="N146" t="s">
        <v>88</v>
      </c>
      <c r="O146" t="s">
        <v>66</v>
      </c>
      <c r="P146" t="s">
        <v>111</v>
      </c>
      <c r="Q146">
        <v>1</v>
      </c>
      <c r="R146">
        <v>75</v>
      </c>
      <c r="S146">
        <v>9.8800000000000008</v>
      </c>
      <c r="T146">
        <v>0</v>
      </c>
      <c r="U146">
        <v>0</v>
      </c>
      <c r="V146" t="s">
        <v>48</v>
      </c>
      <c r="W146">
        <v>0</v>
      </c>
      <c r="X146">
        <v>0</v>
      </c>
      <c r="Y146" t="s">
        <v>67</v>
      </c>
      <c r="Z146" t="s">
        <v>32</v>
      </c>
    </row>
    <row r="147" spans="1:26" x14ac:dyDescent="0.35">
      <c r="A147" t="s">
        <v>354</v>
      </c>
      <c r="B147" s="2">
        <v>45723</v>
      </c>
      <c r="C147">
        <v>2025</v>
      </c>
      <c r="D147">
        <v>3</v>
      </c>
      <c r="E147" t="s">
        <v>135</v>
      </c>
      <c r="F147" t="s">
        <v>541</v>
      </c>
      <c r="G147" t="s">
        <v>40</v>
      </c>
      <c r="H147" t="s">
        <v>41</v>
      </c>
      <c r="I147" t="s">
        <v>42</v>
      </c>
      <c r="J147" t="s">
        <v>43</v>
      </c>
      <c r="K147" t="s">
        <v>81</v>
      </c>
      <c r="L147">
        <v>59.71</v>
      </c>
      <c r="M147" t="s">
        <v>73</v>
      </c>
      <c r="N147" t="s">
        <v>46</v>
      </c>
      <c r="O147" t="s">
        <v>47</v>
      </c>
      <c r="P147" t="s">
        <v>209</v>
      </c>
      <c r="Q147">
        <v>0</v>
      </c>
      <c r="R147">
        <v>75</v>
      </c>
      <c r="S147">
        <v>0</v>
      </c>
      <c r="T147">
        <v>0</v>
      </c>
      <c r="U147">
        <v>0</v>
      </c>
      <c r="V147" t="s">
        <v>48</v>
      </c>
      <c r="W147">
        <v>1</v>
      </c>
      <c r="X147">
        <v>59.71</v>
      </c>
      <c r="Y147" t="s">
        <v>67</v>
      </c>
      <c r="Z147" t="s">
        <v>73</v>
      </c>
    </row>
    <row r="148" spans="1:26" x14ac:dyDescent="0.35">
      <c r="A148" t="s">
        <v>355</v>
      </c>
      <c r="B148" s="2">
        <v>45673</v>
      </c>
      <c r="C148">
        <v>2025</v>
      </c>
      <c r="D148">
        <v>1</v>
      </c>
      <c r="E148" t="s">
        <v>169</v>
      </c>
      <c r="F148" t="s">
        <v>542</v>
      </c>
      <c r="G148" t="s">
        <v>173</v>
      </c>
      <c r="H148" t="s">
        <v>174</v>
      </c>
      <c r="I148" t="s">
        <v>93</v>
      </c>
      <c r="J148" t="s">
        <v>43</v>
      </c>
      <c r="K148" t="s">
        <v>44</v>
      </c>
      <c r="L148">
        <v>162.32</v>
      </c>
      <c r="M148" t="s">
        <v>45</v>
      </c>
      <c r="N148" t="s">
        <v>136</v>
      </c>
      <c r="O148" t="s">
        <v>57</v>
      </c>
      <c r="P148" t="s">
        <v>145</v>
      </c>
      <c r="Q148">
        <v>1</v>
      </c>
      <c r="R148">
        <v>150</v>
      </c>
      <c r="S148">
        <v>12.32</v>
      </c>
      <c r="T148">
        <v>0</v>
      </c>
      <c r="U148">
        <v>0</v>
      </c>
      <c r="V148" t="s">
        <v>48</v>
      </c>
      <c r="W148">
        <v>0</v>
      </c>
      <c r="X148">
        <v>0</v>
      </c>
      <c r="Y148" t="s">
        <v>67</v>
      </c>
      <c r="Z148" t="s">
        <v>32</v>
      </c>
    </row>
    <row r="149" spans="1:26" x14ac:dyDescent="0.35">
      <c r="A149" t="s">
        <v>356</v>
      </c>
      <c r="B149" s="2">
        <v>45844</v>
      </c>
      <c r="C149">
        <v>2025</v>
      </c>
      <c r="D149">
        <v>7</v>
      </c>
      <c r="E149" t="s">
        <v>60</v>
      </c>
      <c r="F149" t="s">
        <v>533</v>
      </c>
      <c r="G149" t="s">
        <v>118</v>
      </c>
      <c r="H149" t="s">
        <v>119</v>
      </c>
      <c r="I149" t="s">
        <v>42</v>
      </c>
      <c r="J149" t="s">
        <v>54</v>
      </c>
      <c r="K149" t="s">
        <v>81</v>
      </c>
      <c r="L149">
        <v>41.43</v>
      </c>
      <c r="M149" t="s">
        <v>45</v>
      </c>
      <c r="N149" t="s">
        <v>109</v>
      </c>
      <c r="O149" t="s">
        <v>110</v>
      </c>
      <c r="P149" t="s">
        <v>94</v>
      </c>
      <c r="Q149">
        <v>0</v>
      </c>
      <c r="R149">
        <v>75</v>
      </c>
      <c r="S149">
        <v>0</v>
      </c>
      <c r="T149">
        <v>0</v>
      </c>
      <c r="U149">
        <v>0</v>
      </c>
      <c r="V149" t="s">
        <v>48</v>
      </c>
      <c r="W149">
        <v>0</v>
      </c>
      <c r="X149">
        <v>0</v>
      </c>
      <c r="Y149" t="s">
        <v>49</v>
      </c>
      <c r="Z149" t="s">
        <v>49</v>
      </c>
    </row>
    <row r="150" spans="1:26" x14ac:dyDescent="0.35">
      <c r="A150" t="s">
        <v>357</v>
      </c>
      <c r="B150" s="2">
        <v>45887</v>
      </c>
      <c r="C150">
        <v>2025</v>
      </c>
      <c r="D150">
        <v>8</v>
      </c>
      <c r="E150" t="s">
        <v>96</v>
      </c>
      <c r="F150" t="s">
        <v>536</v>
      </c>
      <c r="G150" t="s">
        <v>118</v>
      </c>
      <c r="H150" t="s">
        <v>119</v>
      </c>
      <c r="I150" t="s">
        <v>42</v>
      </c>
      <c r="J150" t="s">
        <v>54</v>
      </c>
      <c r="K150" t="s">
        <v>108</v>
      </c>
      <c r="L150">
        <v>932.36</v>
      </c>
      <c r="M150" t="s">
        <v>45</v>
      </c>
      <c r="N150" t="s">
        <v>46</v>
      </c>
      <c r="O150" t="s">
        <v>47</v>
      </c>
      <c r="P150" t="s">
        <v>156</v>
      </c>
      <c r="Q150">
        <v>1</v>
      </c>
      <c r="R150">
        <v>800</v>
      </c>
      <c r="S150">
        <v>132.36000000000001</v>
      </c>
      <c r="T150">
        <v>0</v>
      </c>
      <c r="U150">
        <v>0</v>
      </c>
      <c r="V150" t="s">
        <v>48</v>
      </c>
      <c r="W150">
        <v>0</v>
      </c>
      <c r="X150">
        <v>0</v>
      </c>
      <c r="Y150" t="s">
        <v>67</v>
      </c>
      <c r="Z150" t="s">
        <v>32</v>
      </c>
    </row>
    <row r="151" spans="1:26" x14ac:dyDescent="0.35">
      <c r="A151" t="s">
        <v>358</v>
      </c>
      <c r="B151" s="2">
        <v>45797</v>
      </c>
      <c r="C151">
        <v>2025</v>
      </c>
      <c r="D151">
        <v>5</v>
      </c>
      <c r="E151" t="s">
        <v>113</v>
      </c>
      <c r="F151" t="s">
        <v>538</v>
      </c>
      <c r="G151" t="s">
        <v>359</v>
      </c>
      <c r="H151" t="s">
        <v>360</v>
      </c>
      <c r="I151" t="s">
        <v>71</v>
      </c>
      <c r="J151" t="s">
        <v>43</v>
      </c>
      <c r="K151" t="s">
        <v>72</v>
      </c>
      <c r="L151">
        <v>68.260000000000005</v>
      </c>
      <c r="M151" t="s">
        <v>45</v>
      </c>
      <c r="N151" t="s">
        <v>182</v>
      </c>
      <c r="O151" t="s">
        <v>47</v>
      </c>
      <c r="P151" t="s">
        <v>209</v>
      </c>
      <c r="Q151">
        <v>0</v>
      </c>
      <c r="R151">
        <v>75</v>
      </c>
      <c r="S151">
        <v>0</v>
      </c>
      <c r="T151">
        <v>0</v>
      </c>
      <c r="U151">
        <v>0</v>
      </c>
      <c r="V151" t="s">
        <v>48</v>
      </c>
      <c r="W151">
        <v>0</v>
      </c>
      <c r="X151">
        <v>0</v>
      </c>
      <c r="Y151" t="s">
        <v>49</v>
      </c>
      <c r="Z151" t="s">
        <v>49</v>
      </c>
    </row>
    <row r="152" spans="1:26" x14ac:dyDescent="0.35">
      <c r="A152" t="s">
        <v>361</v>
      </c>
      <c r="B152" s="2">
        <v>45965</v>
      </c>
      <c r="C152">
        <v>2025</v>
      </c>
      <c r="D152">
        <v>11</v>
      </c>
      <c r="E152" t="s">
        <v>132</v>
      </c>
      <c r="F152" t="s">
        <v>540</v>
      </c>
      <c r="G152" t="s">
        <v>359</v>
      </c>
      <c r="H152" t="s">
        <v>360</v>
      </c>
      <c r="I152" t="s">
        <v>71</v>
      </c>
      <c r="J152" t="s">
        <v>43</v>
      </c>
      <c r="K152" t="s">
        <v>87</v>
      </c>
      <c r="L152">
        <v>14.12</v>
      </c>
      <c r="M152" t="s">
        <v>45</v>
      </c>
      <c r="N152" t="s">
        <v>109</v>
      </c>
      <c r="O152" t="s">
        <v>110</v>
      </c>
      <c r="P152" t="s">
        <v>137</v>
      </c>
      <c r="Q152">
        <v>0</v>
      </c>
      <c r="R152">
        <v>50</v>
      </c>
      <c r="S152">
        <v>0</v>
      </c>
      <c r="T152">
        <v>0</v>
      </c>
      <c r="U152">
        <v>0</v>
      </c>
      <c r="V152" t="s">
        <v>48</v>
      </c>
      <c r="W152">
        <v>0</v>
      </c>
      <c r="X152">
        <v>0</v>
      </c>
      <c r="Y152" t="s">
        <v>49</v>
      </c>
      <c r="Z152" t="s">
        <v>49</v>
      </c>
    </row>
    <row r="153" spans="1:26" x14ac:dyDescent="0.35">
      <c r="A153" t="s">
        <v>362</v>
      </c>
      <c r="B153" s="2">
        <v>46008</v>
      </c>
      <c r="C153">
        <v>2025</v>
      </c>
      <c r="D153">
        <v>12</v>
      </c>
      <c r="E153" t="s">
        <v>103</v>
      </c>
      <c r="F153" t="s">
        <v>537</v>
      </c>
      <c r="G153" t="s">
        <v>295</v>
      </c>
      <c r="H153" t="s">
        <v>296</v>
      </c>
      <c r="I153" t="s">
        <v>80</v>
      </c>
      <c r="J153" t="s">
        <v>54</v>
      </c>
      <c r="K153" t="s">
        <v>81</v>
      </c>
      <c r="L153">
        <v>52.57</v>
      </c>
      <c r="M153" t="s">
        <v>45</v>
      </c>
      <c r="N153" t="s">
        <v>109</v>
      </c>
      <c r="O153" t="s">
        <v>110</v>
      </c>
      <c r="P153" t="s">
        <v>54</v>
      </c>
      <c r="Q153">
        <v>0</v>
      </c>
      <c r="R153">
        <v>75</v>
      </c>
      <c r="S153">
        <v>0</v>
      </c>
      <c r="T153">
        <v>0</v>
      </c>
      <c r="U153">
        <v>0</v>
      </c>
      <c r="V153" t="s">
        <v>48</v>
      </c>
      <c r="W153">
        <v>0</v>
      </c>
      <c r="X153">
        <v>0</v>
      </c>
      <c r="Y153" t="s">
        <v>49</v>
      </c>
      <c r="Z153" t="s">
        <v>49</v>
      </c>
    </row>
    <row r="154" spans="1:26" x14ac:dyDescent="0.35">
      <c r="A154" t="s">
        <v>363</v>
      </c>
      <c r="B154" s="2">
        <v>45903</v>
      </c>
      <c r="C154">
        <v>2025</v>
      </c>
      <c r="D154">
        <v>9</v>
      </c>
      <c r="E154" t="s">
        <v>121</v>
      </c>
      <c r="F154" t="s">
        <v>539</v>
      </c>
      <c r="G154" t="s">
        <v>141</v>
      </c>
      <c r="H154" t="s">
        <v>142</v>
      </c>
      <c r="I154" t="s">
        <v>71</v>
      </c>
      <c r="J154" t="s">
        <v>58</v>
      </c>
      <c r="K154" t="s">
        <v>81</v>
      </c>
      <c r="L154">
        <v>68.59</v>
      </c>
      <c r="M154" t="s">
        <v>45</v>
      </c>
      <c r="N154" t="s">
        <v>99</v>
      </c>
      <c r="O154" t="s">
        <v>100</v>
      </c>
      <c r="P154" t="s">
        <v>43</v>
      </c>
      <c r="Q154">
        <v>0</v>
      </c>
      <c r="R154">
        <v>75</v>
      </c>
      <c r="S154">
        <v>0</v>
      </c>
      <c r="T154">
        <v>0</v>
      </c>
      <c r="U154">
        <v>0</v>
      </c>
      <c r="V154" t="s">
        <v>48</v>
      </c>
      <c r="W154">
        <v>0</v>
      </c>
      <c r="X154">
        <v>0</v>
      </c>
      <c r="Y154" t="s">
        <v>49</v>
      </c>
      <c r="Z154" t="s">
        <v>49</v>
      </c>
    </row>
    <row r="155" spans="1:26" x14ac:dyDescent="0.35">
      <c r="A155" t="s">
        <v>364</v>
      </c>
      <c r="B155" s="2">
        <v>45847</v>
      </c>
      <c r="C155">
        <v>2025</v>
      </c>
      <c r="D155">
        <v>7</v>
      </c>
      <c r="E155" t="s">
        <v>60</v>
      </c>
      <c r="F155" t="s">
        <v>533</v>
      </c>
      <c r="G155" t="s">
        <v>118</v>
      </c>
      <c r="H155" t="s">
        <v>119</v>
      </c>
      <c r="I155" t="s">
        <v>42</v>
      </c>
      <c r="J155" t="s">
        <v>54</v>
      </c>
      <c r="K155" t="s">
        <v>81</v>
      </c>
      <c r="L155">
        <v>90.52</v>
      </c>
      <c r="M155" t="s">
        <v>73</v>
      </c>
      <c r="N155" t="s">
        <v>109</v>
      </c>
      <c r="O155" t="s">
        <v>110</v>
      </c>
      <c r="P155" t="s">
        <v>75</v>
      </c>
      <c r="Q155">
        <v>1</v>
      </c>
      <c r="R155">
        <v>75</v>
      </c>
      <c r="S155">
        <v>15.52</v>
      </c>
      <c r="T155">
        <v>0</v>
      </c>
      <c r="U155">
        <v>0</v>
      </c>
      <c r="V155" t="s">
        <v>48</v>
      </c>
      <c r="W155">
        <v>1</v>
      </c>
      <c r="X155">
        <v>90.52</v>
      </c>
      <c r="Y155" t="s">
        <v>67</v>
      </c>
      <c r="Z155" t="s">
        <v>220</v>
      </c>
    </row>
    <row r="156" spans="1:26" x14ac:dyDescent="0.35">
      <c r="A156" t="s">
        <v>365</v>
      </c>
      <c r="B156" s="2">
        <v>45859</v>
      </c>
      <c r="C156">
        <v>2025</v>
      </c>
      <c r="D156">
        <v>7</v>
      </c>
      <c r="E156" t="s">
        <v>60</v>
      </c>
      <c r="F156" t="s">
        <v>533</v>
      </c>
      <c r="G156" t="s">
        <v>184</v>
      </c>
      <c r="H156" t="s">
        <v>185</v>
      </c>
      <c r="I156" t="s">
        <v>93</v>
      </c>
      <c r="J156" t="s">
        <v>43</v>
      </c>
      <c r="K156" t="s">
        <v>55</v>
      </c>
      <c r="L156">
        <v>273.58999999999997</v>
      </c>
      <c r="M156" t="s">
        <v>45</v>
      </c>
      <c r="N156" t="s">
        <v>116</v>
      </c>
      <c r="O156" t="s">
        <v>57</v>
      </c>
      <c r="P156" t="s">
        <v>89</v>
      </c>
      <c r="Q156">
        <v>0</v>
      </c>
      <c r="R156">
        <v>300</v>
      </c>
      <c r="S156">
        <v>0</v>
      </c>
      <c r="T156">
        <v>0</v>
      </c>
      <c r="U156">
        <v>0</v>
      </c>
      <c r="V156" t="s">
        <v>48</v>
      </c>
      <c r="W156">
        <v>0</v>
      </c>
      <c r="X156">
        <v>0</v>
      </c>
      <c r="Y156" t="s">
        <v>49</v>
      </c>
      <c r="Z156" t="s">
        <v>49</v>
      </c>
    </row>
    <row r="157" spans="1:26" x14ac:dyDescent="0.35">
      <c r="A157" t="s">
        <v>366</v>
      </c>
      <c r="B157" s="2">
        <v>45687</v>
      </c>
      <c r="C157">
        <v>2025</v>
      </c>
      <c r="D157">
        <v>1</v>
      </c>
      <c r="E157" t="s">
        <v>169</v>
      </c>
      <c r="F157" t="s">
        <v>542</v>
      </c>
      <c r="G157" t="s">
        <v>147</v>
      </c>
      <c r="H157" t="s">
        <v>148</v>
      </c>
      <c r="I157" t="s">
        <v>93</v>
      </c>
      <c r="J157" t="s">
        <v>54</v>
      </c>
      <c r="K157" t="s">
        <v>55</v>
      </c>
      <c r="L157">
        <v>383.93</v>
      </c>
      <c r="M157" t="s">
        <v>45</v>
      </c>
      <c r="N157" t="s">
        <v>116</v>
      </c>
      <c r="O157" t="s">
        <v>57</v>
      </c>
      <c r="P157" t="s">
        <v>54</v>
      </c>
      <c r="Q157">
        <v>1</v>
      </c>
      <c r="R157">
        <v>300</v>
      </c>
      <c r="S157">
        <v>83.93</v>
      </c>
      <c r="T157">
        <v>0</v>
      </c>
      <c r="U157">
        <v>0</v>
      </c>
      <c r="V157" t="s">
        <v>48</v>
      </c>
      <c r="W157">
        <v>0</v>
      </c>
      <c r="X157">
        <v>0</v>
      </c>
      <c r="Y157" t="s">
        <v>67</v>
      </c>
      <c r="Z157" t="s">
        <v>32</v>
      </c>
    </row>
    <row r="158" spans="1:26" x14ac:dyDescent="0.35">
      <c r="A158" t="s">
        <v>367</v>
      </c>
      <c r="B158" s="2">
        <v>45691</v>
      </c>
      <c r="C158">
        <v>2025</v>
      </c>
      <c r="D158">
        <v>2</v>
      </c>
      <c r="E158" t="s">
        <v>51</v>
      </c>
      <c r="F158" t="s">
        <v>532</v>
      </c>
      <c r="G158" t="s">
        <v>124</v>
      </c>
      <c r="H158" t="s">
        <v>125</v>
      </c>
      <c r="I158" t="s">
        <v>86</v>
      </c>
      <c r="J158" t="s">
        <v>43</v>
      </c>
      <c r="K158" t="s">
        <v>108</v>
      </c>
      <c r="L158">
        <v>394.13</v>
      </c>
      <c r="M158" t="s">
        <v>73</v>
      </c>
      <c r="N158" t="s">
        <v>136</v>
      </c>
      <c r="O158" t="s">
        <v>57</v>
      </c>
      <c r="P158" t="s">
        <v>75</v>
      </c>
      <c r="Q158">
        <v>0</v>
      </c>
      <c r="R158">
        <v>800</v>
      </c>
      <c r="S158">
        <v>0</v>
      </c>
      <c r="T158">
        <v>0</v>
      </c>
      <c r="U158">
        <v>0</v>
      </c>
      <c r="V158" t="s">
        <v>48</v>
      </c>
      <c r="W158">
        <v>1</v>
      </c>
      <c r="X158">
        <v>394.13</v>
      </c>
      <c r="Y158" t="s">
        <v>67</v>
      </c>
      <c r="Z158" t="s">
        <v>73</v>
      </c>
    </row>
    <row r="159" spans="1:26" x14ac:dyDescent="0.35">
      <c r="A159" t="s">
        <v>368</v>
      </c>
      <c r="B159" s="2">
        <v>45859</v>
      </c>
      <c r="C159">
        <v>2025</v>
      </c>
      <c r="D159">
        <v>7</v>
      </c>
      <c r="E159" t="s">
        <v>60</v>
      </c>
      <c r="F159" t="s">
        <v>533</v>
      </c>
      <c r="G159" t="s">
        <v>266</v>
      </c>
      <c r="H159" t="s">
        <v>267</v>
      </c>
      <c r="I159" t="s">
        <v>42</v>
      </c>
      <c r="J159" t="s">
        <v>54</v>
      </c>
      <c r="K159" t="s">
        <v>81</v>
      </c>
      <c r="L159">
        <v>32.69</v>
      </c>
      <c r="M159" t="s">
        <v>45</v>
      </c>
      <c r="N159" t="s">
        <v>109</v>
      </c>
      <c r="O159" t="s">
        <v>110</v>
      </c>
      <c r="P159" t="s">
        <v>94</v>
      </c>
      <c r="Q159">
        <v>0</v>
      </c>
      <c r="R159">
        <v>75</v>
      </c>
      <c r="S159">
        <v>0</v>
      </c>
      <c r="T159">
        <v>1</v>
      </c>
      <c r="U159">
        <v>32.69</v>
      </c>
      <c r="V159" t="s">
        <v>33</v>
      </c>
      <c r="W159">
        <v>0</v>
      </c>
      <c r="X159">
        <v>0</v>
      </c>
      <c r="Y159" t="s">
        <v>67</v>
      </c>
      <c r="Z159" t="s">
        <v>33</v>
      </c>
    </row>
    <row r="160" spans="1:26" x14ac:dyDescent="0.35">
      <c r="A160" t="s">
        <v>369</v>
      </c>
      <c r="B160" s="2">
        <v>45762</v>
      </c>
      <c r="C160">
        <v>2025</v>
      </c>
      <c r="D160">
        <v>4</v>
      </c>
      <c r="E160" t="s">
        <v>77</v>
      </c>
      <c r="F160" t="s">
        <v>534</v>
      </c>
      <c r="G160" t="s">
        <v>336</v>
      </c>
      <c r="H160" t="s">
        <v>337</v>
      </c>
      <c r="I160" t="s">
        <v>71</v>
      </c>
      <c r="J160" t="s">
        <v>43</v>
      </c>
      <c r="K160" t="s">
        <v>87</v>
      </c>
      <c r="L160">
        <v>35.47</v>
      </c>
      <c r="M160" t="s">
        <v>45</v>
      </c>
      <c r="N160" t="s">
        <v>122</v>
      </c>
      <c r="O160" t="s">
        <v>100</v>
      </c>
      <c r="P160" t="s">
        <v>145</v>
      </c>
      <c r="Q160">
        <v>0</v>
      </c>
      <c r="R160">
        <v>50</v>
      </c>
      <c r="S160">
        <v>0</v>
      </c>
      <c r="T160">
        <v>0</v>
      </c>
      <c r="U160">
        <v>0</v>
      </c>
      <c r="V160" t="s">
        <v>48</v>
      </c>
      <c r="W160">
        <v>0</v>
      </c>
      <c r="X160">
        <v>0</v>
      </c>
      <c r="Y160" t="s">
        <v>49</v>
      </c>
      <c r="Z160" t="s">
        <v>49</v>
      </c>
    </row>
    <row r="161" spans="1:26" x14ac:dyDescent="0.35">
      <c r="A161" t="s">
        <v>370</v>
      </c>
      <c r="B161" s="2">
        <v>45967</v>
      </c>
      <c r="C161">
        <v>2025</v>
      </c>
      <c r="D161">
        <v>11</v>
      </c>
      <c r="E161" t="s">
        <v>132</v>
      </c>
      <c r="F161" t="s">
        <v>540</v>
      </c>
      <c r="G161" t="s">
        <v>61</v>
      </c>
      <c r="H161" t="s">
        <v>62</v>
      </c>
      <c r="I161" t="s">
        <v>63</v>
      </c>
      <c r="J161" t="s">
        <v>54</v>
      </c>
      <c r="K161" t="s">
        <v>55</v>
      </c>
      <c r="L161">
        <v>238.48</v>
      </c>
      <c r="M161" t="s">
        <v>45</v>
      </c>
      <c r="N161" t="s">
        <v>293</v>
      </c>
      <c r="O161" t="s">
        <v>57</v>
      </c>
      <c r="P161" t="s">
        <v>58</v>
      </c>
      <c r="Q161">
        <v>0</v>
      </c>
      <c r="R161">
        <v>300</v>
      </c>
      <c r="S161">
        <v>0</v>
      </c>
      <c r="T161">
        <v>0</v>
      </c>
      <c r="U161">
        <v>0</v>
      </c>
      <c r="V161" t="s">
        <v>48</v>
      </c>
      <c r="W161">
        <v>0</v>
      </c>
      <c r="X161">
        <v>0</v>
      </c>
      <c r="Y161" t="s">
        <v>49</v>
      </c>
      <c r="Z161" t="s">
        <v>49</v>
      </c>
    </row>
    <row r="162" spans="1:26" x14ac:dyDescent="0.35">
      <c r="A162" t="s">
        <v>371</v>
      </c>
      <c r="B162" s="2">
        <v>45707</v>
      </c>
      <c r="C162">
        <v>2025</v>
      </c>
      <c r="D162">
        <v>2</v>
      </c>
      <c r="E162" t="s">
        <v>51</v>
      </c>
      <c r="F162" t="s">
        <v>532</v>
      </c>
      <c r="G162" t="s">
        <v>180</v>
      </c>
      <c r="H162" t="s">
        <v>181</v>
      </c>
      <c r="I162" t="s">
        <v>63</v>
      </c>
      <c r="J162" t="s">
        <v>54</v>
      </c>
      <c r="K162" t="s">
        <v>44</v>
      </c>
      <c r="L162">
        <v>126.39</v>
      </c>
      <c r="M162" t="s">
        <v>45</v>
      </c>
      <c r="N162" t="s">
        <v>46</v>
      </c>
      <c r="O162" t="s">
        <v>47</v>
      </c>
      <c r="P162" t="s">
        <v>54</v>
      </c>
      <c r="Q162">
        <v>0</v>
      </c>
      <c r="R162">
        <v>150</v>
      </c>
      <c r="S162">
        <v>0</v>
      </c>
      <c r="T162">
        <v>0</v>
      </c>
      <c r="U162">
        <v>0</v>
      </c>
      <c r="V162" t="s">
        <v>48</v>
      </c>
      <c r="W162">
        <v>0</v>
      </c>
      <c r="X162">
        <v>0</v>
      </c>
      <c r="Y162" t="s">
        <v>49</v>
      </c>
      <c r="Z162" t="s">
        <v>49</v>
      </c>
    </row>
    <row r="163" spans="1:26" x14ac:dyDescent="0.35">
      <c r="A163" t="s">
        <v>372</v>
      </c>
      <c r="B163" s="2">
        <v>45771</v>
      </c>
      <c r="C163">
        <v>2025</v>
      </c>
      <c r="D163">
        <v>4</v>
      </c>
      <c r="E163" t="s">
        <v>77</v>
      </c>
      <c r="F163" t="s">
        <v>534</v>
      </c>
      <c r="G163" t="s">
        <v>61</v>
      </c>
      <c r="H163" t="s">
        <v>62</v>
      </c>
      <c r="I163" t="s">
        <v>63</v>
      </c>
      <c r="J163" t="s">
        <v>54</v>
      </c>
      <c r="K163" t="s">
        <v>55</v>
      </c>
      <c r="L163">
        <v>279.62</v>
      </c>
      <c r="M163" t="s">
        <v>73</v>
      </c>
      <c r="N163" t="s">
        <v>116</v>
      </c>
      <c r="O163" t="s">
        <v>57</v>
      </c>
      <c r="P163" t="s">
        <v>43</v>
      </c>
      <c r="Q163">
        <v>0</v>
      </c>
      <c r="R163">
        <v>300</v>
      </c>
      <c r="S163">
        <v>0</v>
      </c>
      <c r="T163">
        <v>0</v>
      </c>
      <c r="U163">
        <v>0</v>
      </c>
      <c r="V163" t="s">
        <v>48</v>
      </c>
      <c r="W163">
        <v>1</v>
      </c>
      <c r="X163">
        <v>279.62</v>
      </c>
      <c r="Y163" t="s">
        <v>67</v>
      </c>
      <c r="Z163" t="s">
        <v>73</v>
      </c>
    </row>
    <row r="164" spans="1:26" x14ac:dyDescent="0.35">
      <c r="A164" t="s">
        <v>373</v>
      </c>
      <c r="B164" s="2">
        <v>45833</v>
      </c>
      <c r="C164">
        <v>2025</v>
      </c>
      <c r="D164">
        <v>6</v>
      </c>
      <c r="E164" t="s">
        <v>83</v>
      </c>
      <c r="F164" t="s">
        <v>535</v>
      </c>
      <c r="G164" t="s">
        <v>147</v>
      </c>
      <c r="H164" t="s">
        <v>148</v>
      </c>
      <c r="I164" t="s">
        <v>93</v>
      </c>
      <c r="J164" t="s">
        <v>54</v>
      </c>
      <c r="K164" t="s">
        <v>72</v>
      </c>
      <c r="L164">
        <v>52.31</v>
      </c>
      <c r="M164" t="s">
        <v>45</v>
      </c>
      <c r="N164" t="s">
        <v>144</v>
      </c>
      <c r="O164" t="s">
        <v>66</v>
      </c>
      <c r="P164" t="s">
        <v>58</v>
      </c>
      <c r="Q164">
        <v>0</v>
      </c>
      <c r="R164">
        <v>75</v>
      </c>
      <c r="S164">
        <v>0</v>
      </c>
      <c r="T164">
        <v>0</v>
      </c>
      <c r="U164">
        <v>0</v>
      </c>
      <c r="V164" t="s">
        <v>48</v>
      </c>
      <c r="W164">
        <v>0</v>
      </c>
      <c r="X164">
        <v>0</v>
      </c>
      <c r="Y164" t="s">
        <v>49</v>
      </c>
      <c r="Z164" t="s">
        <v>49</v>
      </c>
    </row>
    <row r="165" spans="1:26" x14ac:dyDescent="0.35">
      <c r="A165" t="s">
        <v>374</v>
      </c>
      <c r="B165" s="2">
        <v>45728</v>
      </c>
      <c r="C165">
        <v>2025</v>
      </c>
      <c r="D165">
        <v>3</v>
      </c>
      <c r="E165" t="s">
        <v>135</v>
      </c>
      <c r="F165" t="s">
        <v>541</v>
      </c>
      <c r="G165" t="s">
        <v>320</v>
      </c>
      <c r="H165" t="s">
        <v>321</v>
      </c>
      <c r="I165" t="s">
        <v>80</v>
      </c>
      <c r="J165" t="s">
        <v>43</v>
      </c>
      <c r="K165" t="s">
        <v>81</v>
      </c>
      <c r="L165">
        <v>51.68</v>
      </c>
      <c r="M165" t="s">
        <v>73</v>
      </c>
      <c r="N165" t="s">
        <v>99</v>
      </c>
      <c r="O165" t="s">
        <v>100</v>
      </c>
      <c r="P165" t="s">
        <v>177</v>
      </c>
      <c r="Q165">
        <v>0</v>
      </c>
      <c r="R165">
        <v>75</v>
      </c>
      <c r="S165">
        <v>0</v>
      </c>
      <c r="T165">
        <v>0</v>
      </c>
      <c r="U165">
        <v>0</v>
      </c>
      <c r="V165" t="s">
        <v>48</v>
      </c>
      <c r="W165">
        <v>1</v>
      </c>
      <c r="X165">
        <v>51.68</v>
      </c>
      <c r="Y165" t="s">
        <v>67</v>
      </c>
      <c r="Z165" t="s">
        <v>73</v>
      </c>
    </row>
    <row r="166" spans="1:26" x14ac:dyDescent="0.35">
      <c r="A166" t="s">
        <v>375</v>
      </c>
      <c r="B166" s="2">
        <v>45727</v>
      </c>
      <c r="C166">
        <v>2025</v>
      </c>
      <c r="D166">
        <v>3</v>
      </c>
      <c r="E166" t="s">
        <v>135</v>
      </c>
      <c r="F166" t="s">
        <v>541</v>
      </c>
      <c r="G166" t="s">
        <v>323</v>
      </c>
      <c r="H166" t="s">
        <v>324</v>
      </c>
      <c r="I166" t="s">
        <v>63</v>
      </c>
      <c r="J166" t="s">
        <v>54</v>
      </c>
      <c r="K166" t="s">
        <v>55</v>
      </c>
      <c r="L166">
        <v>373.27</v>
      </c>
      <c r="M166" t="s">
        <v>45</v>
      </c>
      <c r="N166" t="s">
        <v>304</v>
      </c>
      <c r="O166" t="s">
        <v>110</v>
      </c>
      <c r="P166" t="s">
        <v>54</v>
      </c>
      <c r="Q166">
        <v>1</v>
      </c>
      <c r="R166">
        <v>300</v>
      </c>
      <c r="S166">
        <v>73.27</v>
      </c>
      <c r="T166">
        <v>0</v>
      </c>
      <c r="U166">
        <v>0</v>
      </c>
      <c r="V166" t="s">
        <v>48</v>
      </c>
      <c r="W166">
        <v>0</v>
      </c>
      <c r="X166">
        <v>0</v>
      </c>
      <c r="Y166" t="s">
        <v>67</v>
      </c>
      <c r="Z166" t="s">
        <v>32</v>
      </c>
    </row>
    <row r="167" spans="1:26" x14ac:dyDescent="0.35">
      <c r="A167" t="s">
        <v>376</v>
      </c>
      <c r="B167" s="2">
        <v>45958</v>
      </c>
      <c r="C167">
        <v>2025</v>
      </c>
      <c r="D167">
        <v>10</v>
      </c>
      <c r="E167" t="s">
        <v>39</v>
      </c>
      <c r="F167" t="s">
        <v>531</v>
      </c>
      <c r="G167" t="s">
        <v>287</v>
      </c>
      <c r="H167" t="s">
        <v>288</v>
      </c>
      <c r="I167" t="s">
        <v>86</v>
      </c>
      <c r="J167" t="s">
        <v>54</v>
      </c>
      <c r="K167" t="s">
        <v>87</v>
      </c>
      <c r="L167">
        <v>60.2</v>
      </c>
      <c r="M167" t="s">
        <v>45</v>
      </c>
      <c r="N167" t="s">
        <v>65</v>
      </c>
      <c r="O167" t="s">
        <v>66</v>
      </c>
      <c r="P167" t="s">
        <v>54</v>
      </c>
      <c r="Q167">
        <v>1</v>
      </c>
      <c r="R167">
        <v>50</v>
      </c>
      <c r="S167">
        <v>10.199999999999999</v>
      </c>
      <c r="T167">
        <v>0</v>
      </c>
      <c r="U167">
        <v>0</v>
      </c>
      <c r="V167" t="s">
        <v>48</v>
      </c>
      <c r="W167">
        <v>0</v>
      </c>
      <c r="X167">
        <v>0</v>
      </c>
      <c r="Y167" t="s">
        <v>67</v>
      </c>
      <c r="Z167" t="s">
        <v>32</v>
      </c>
    </row>
    <row r="168" spans="1:26" x14ac:dyDescent="0.35">
      <c r="A168" t="s">
        <v>377</v>
      </c>
      <c r="B168" s="2">
        <v>45993</v>
      </c>
      <c r="C168">
        <v>2025</v>
      </c>
      <c r="D168">
        <v>12</v>
      </c>
      <c r="E168" t="s">
        <v>103</v>
      </c>
      <c r="F168" t="s">
        <v>537</v>
      </c>
      <c r="G168" t="s">
        <v>97</v>
      </c>
      <c r="H168" t="s">
        <v>98</v>
      </c>
      <c r="I168" t="s">
        <v>93</v>
      </c>
      <c r="J168" t="s">
        <v>54</v>
      </c>
      <c r="K168" t="s">
        <v>55</v>
      </c>
      <c r="L168">
        <v>217.63</v>
      </c>
      <c r="M168" t="s">
        <v>73</v>
      </c>
      <c r="N168" t="s">
        <v>175</v>
      </c>
      <c r="O168" t="s">
        <v>57</v>
      </c>
      <c r="P168" t="s">
        <v>106</v>
      </c>
      <c r="Q168">
        <v>0</v>
      </c>
      <c r="R168">
        <v>300</v>
      </c>
      <c r="S168">
        <v>0</v>
      </c>
      <c r="T168">
        <v>0</v>
      </c>
      <c r="U168">
        <v>0</v>
      </c>
      <c r="V168" t="s">
        <v>48</v>
      </c>
      <c r="W168">
        <v>1</v>
      </c>
      <c r="X168">
        <v>217.63</v>
      </c>
      <c r="Y168" t="s">
        <v>67</v>
      </c>
      <c r="Z168" t="s">
        <v>73</v>
      </c>
    </row>
    <row r="169" spans="1:26" x14ac:dyDescent="0.35">
      <c r="A169" t="s">
        <v>378</v>
      </c>
      <c r="B169" s="2">
        <v>45835</v>
      </c>
      <c r="C169">
        <v>2025</v>
      </c>
      <c r="D169">
        <v>6</v>
      </c>
      <c r="E169" t="s">
        <v>83</v>
      </c>
      <c r="F169" t="s">
        <v>535</v>
      </c>
      <c r="G169" t="s">
        <v>61</v>
      </c>
      <c r="H169" t="s">
        <v>62</v>
      </c>
      <c r="I169" t="s">
        <v>63</v>
      </c>
      <c r="J169" t="s">
        <v>54</v>
      </c>
      <c r="K169" t="s">
        <v>81</v>
      </c>
      <c r="L169">
        <v>98.07</v>
      </c>
      <c r="M169" t="s">
        <v>45</v>
      </c>
      <c r="N169" t="s">
        <v>88</v>
      </c>
      <c r="O169" t="s">
        <v>66</v>
      </c>
      <c r="P169" t="s">
        <v>106</v>
      </c>
      <c r="Q169">
        <v>1</v>
      </c>
      <c r="R169">
        <v>75</v>
      </c>
      <c r="S169">
        <v>23.07</v>
      </c>
      <c r="T169">
        <v>0</v>
      </c>
      <c r="U169">
        <v>0</v>
      </c>
      <c r="V169" t="s">
        <v>48</v>
      </c>
      <c r="W169">
        <v>0</v>
      </c>
      <c r="X169">
        <v>0</v>
      </c>
      <c r="Y169" t="s">
        <v>67</v>
      </c>
      <c r="Z169" t="s">
        <v>32</v>
      </c>
    </row>
    <row r="170" spans="1:26" x14ac:dyDescent="0.35">
      <c r="A170" t="s">
        <v>379</v>
      </c>
      <c r="B170" s="2">
        <v>45842</v>
      </c>
      <c r="C170">
        <v>2025</v>
      </c>
      <c r="D170">
        <v>7</v>
      </c>
      <c r="E170" t="s">
        <v>60</v>
      </c>
      <c r="F170" t="s">
        <v>533</v>
      </c>
      <c r="G170" t="s">
        <v>195</v>
      </c>
      <c r="H170" t="s">
        <v>196</v>
      </c>
      <c r="I170" t="s">
        <v>71</v>
      </c>
      <c r="J170" t="s">
        <v>54</v>
      </c>
      <c r="K170" t="s">
        <v>87</v>
      </c>
      <c r="L170">
        <v>42.54</v>
      </c>
      <c r="M170" t="s">
        <v>45</v>
      </c>
      <c r="N170" t="s">
        <v>104</v>
      </c>
      <c r="O170" t="s">
        <v>105</v>
      </c>
      <c r="P170" t="s">
        <v>54</v>
      </c>
      <c r="Q170">
        <v>0</v>
      </c>
      <c r="R170">
        <v>50</v>
      </c>
      <c r="S170">
        <v>0</v>
      </c>
      <c r="T170">
        <v>0</v>
      </c>
      <c r="U170">
        <v>0</v>
      </c>
      <c r="V170" t="s">
        <v>48</v>
      </c>
      <c r="W170">
        <v>0</v>
      </c>
      <c r="X170">
        <v>0</v>
      </c>
      <c r="Y170" t="s">
        <v>49</v>
      </c>
      <c r="Z170" t="s">
        <v>49</v>
      </c>
    </row>
    <row r="171" spans="1:26" x14ac:dyDescent="0.35">
      <c r="A171" t="s">
        <v>380</v>
      </c>
      <c r="B171" s="2">
        <v>45862</v>
      </c>
      <c r="C171">
        <v>2025</v>
      </c>
      <c r="D171">
        <v>7</v>
      </c>
      <c r="E171" t="s">
        <v>60</v>
      </c>
      <c r="F171" t="s">
        <v>533</v>
      </c>
      <c r="G171" t="s">
        <v>244</v>
      </c>
      <c r="H171" t="s">
        <v>245</v>
      </c>
      <c r="I171" t="s">
        <v>63</v>
      </c>
      <c r="J171" t="s">
        <v>43</v>
      </c>
      <c r="K171" t="s">
        <v>72</v>
      </c>
      <c r="L171">
        <v>52.74</v>
      </c>
      <c r="M171" t="s">
        <v>73</v>
      </c>
      <c r="N171" t="s">
        <v>144</v>
      </c>
      <c r="O171" t="s">
        <v>66</v>
      </c>
      <c r="P171" t="s">
        <v>145</v>
      </c>
      <c r="Q171">
        <v>0</v>
      </c>
      <c r="R171">
        <v>75</v>
      </c>
      <c r="S171">
        <v>0</v>
      </c>
      <c r="T171">
        <v>0</v>
      </c>
      <c r="U171">
        <v>0</v>
      </c>
      <c r="V171" t="s">
        <v>48</v>
      </c>
      <c r="W171">
        <v>1</v>
      </c>
      <c r="X171">
        <v>52.74</v>
      </c>
      <c r="Y171" t="s">
        <v>67</v>
      </c>
      <c r="Z171" t="s">
        <v>73</v>
      </c>
    </row>
    <row r="172" spans="1:26" x14ac:dyDescent="0.35">
      <c r="A172" t="s">
        <v>381</v>
      </c>
      <c r="B172" s="2">
        <v>45693</v>
      </c>
      <c r="C172">
        <v>2025</v>
      </c>
      <c r="D172">
        <v>2</v>
      </c>
      <c r="E172" t="s">
        <v>51</v>
      </c>
      <c r="F172" t="s">
        <v>532</v>
      </c>
      <c r="G172" t="s">
        <v>141</v>
      </c>
      <c r="H172" t="s">
        <v>142</v>
      </c>
      <c r="I172" t="s">
        <v>71</v>
      </c>
      <c r="J172" t="s">
        <v>58</v>
      </c>
      <c r="K172" t="s">
        <v>87</v>
      </c>
      <c r="L172">
        <v>23.62</v>
      </c>
      <c r="M172" t="s">
        <v>45</v>
      </c>
      <c r="N172" t="s">
        <v>88</v>
      </c>
      <c r="O172" t="s">
        <v>66</v>
      </c>
      <c r="P172" t="s">
        <v>239</v>
      </c>
      <c r="Q172">
        <v>0</v>
      </c>
      <c r="R172">
        <v>50</v>
      </c>
      <c r="S172">
        <v>0</v>
      </c>
      <c r="T172">
        <v>0</v>
      </c>
      <c r="U172">
        <v>0</v>
      </c>
      <c r="V172" t="s">
        <v>48</v>
      </c>
      <c r="W172">
        <v>0</v>
      </c>
      <c r="X172">
        <v>0</v>
      </c>
      <c r="Y172" t="s">
        <v>49</v>
      </c>
      <c r="Z172" t="s">
        <v>49</v>
      </c>
    </row>
    <row r="173" spans="1:26" x14ac:dyDescent="0.35">
      <c r="A173" t="s">
        <v>382</v>
      </c>
      <c r="B173" s="2">
        <v>45985</v>
      </c>
      <c r="C173">
        <v>2025</v>
      </c>
      <c r="D173">
        <v>11</v>
      </c>
      <c r="E173" t="s">
        <v>132</v>
      </c>
      <c r="F173" t="s">
        <v>540</v>
      </c>
      <c r="G173" t="s">
        <v>118</v>
      </c>
      <c r="H173" t="s">
        <v>119</v>
      </c>
      <c r="I173" t="s">
        <v>42</v>
      </c>
      <c r="J173" t="s">
        <v>54</v>
      </c>
      <c r="K173" t="s">
        <v>64</v>
      </c>
      <c r="L173">
        <v>15.38</v>
      </c>
      <c r="M173" t="s">
        <v>45</v>
      </c>
      <c r="N173" t="s">
        <v>122</v>
      </c>
      <c r="O173" t="s">
        <v>100</v>
      </c>
      <c r="P173" t="s">
        <v>106</v>
      </c>
      <c r="Q173">
        <v>0</v>
      </c>
      <c r="R173">
        <v>30</v>
      </c>
      <c r="S173">
        <v>0</v>
      </c>
      <c r="T173">
        <v>1</v>
      </c>
      <c r="U173">
        <v>15.38</v>
      </c>
      <c r="V173" t="s">
        <v>33</v>
      </c>
      <c r="W173">
        <v>0</v>
      </c>
      <c r="X173">
        <v>0</v>
      </c>
      <c r="Y173" t="s">
        <v>67</v>
      </c>
      <c r="Z173" t="s">
        <v>33</v>
      </c>
    </row>
    <row r="174" spans="1:26" x14ac:dyDescent="0.35">
      <c r="A174" t="s">
        <v>383</v>
      </c>
      <c r="B174" s="2">
        <v>45933</v>
      </c>
      <c r="C174">
        <v>2025</v>
      </c>
      <c r="D174">
        <v>10</v>
      </c>
      <c r="E174" t="s">
        <v>39</v>
      </c>
      <c r="F174" t="s">
        <v>531</v>
      </c>
      <c r="G174" t="s">
        <v>118</v>
      </c>
      <c r="H174" t="s">
        <v>119</v>
      </c>
      <c r="I174" t="s">
        <v>42</v>
      </c>
      <c r="J174" t="s">
        <v>54</v>
      </c>
      <c r="K174" t="s">
        <v>81</v>
      </c>
      <c r="L174">
        <v>63.43</v>
      </c>
      <c r="M174" t="s">
        <v>45</v>
      </c>
      <c r="N174" t="s">
        <v>109</v>
      </c>
      <c r="O174" t="s">
        <v>110</v>
      </c>
      <c r="P174" t="s">
        <v>156</v>
      </c>
      <c r="Q174">
        <v>0</v>
      </c>
      <c r="R174">
        <v>75</v>
      </c>
      <c r="S174">
        <v>0</v>
      </c>
      <c r="T174">
        <v>0</v>
      </c>
      <c r="U174">
        <v>0</v>
      </c>
      <c r="V174" t="s">
        <v>48</v>
      </c>
      <c r="W174">
        <v>0</v>
      </c>
      <c r="X174">
        <v>0</v>
      </c>
      <c r="Y174" t="s">
        <v>49</v>
      </c>
      <c r="Z174" t="s">
        <v>49</v>
      </c>
    </row>
    <row r="175" spans="1:26" x14ac:dyDescent="0.35">
      <c r="A175" t="s">
        <v>384</v>
      </c>
      <c r="B175" s="2">
        <v>45959</v>
      </c>
      <c r="C175">
        <v>2025</v>
      </c>
      <c r="D175">
        <v>10</v>
      </c>
      <c r="E175" t="s">
        <v>39</v>
      </c>
      <c r="F175" t="s">
        <v>531</v>
      </c>
      <c r="G175" t="s">
        <v>189</v>
      </c>
      <c r="H175" t="s">
        <v>190</v>
      </c>
      <c r="I175" t="s">
        <v>93</v>
      </c>
      <c r="J175" t="s">
        <v>54</v>
      </c>
      <c r="K175" t="s">
        <v>108</v>
      </c>
      <c r="L175">
        <v>471.33</v>
      </c>
      <c r="M175" t="s">
        <v>45</v>
      </c>
      <c r="N175" t="s">
        <v>46</v>
      </c>
      <c r="O175" t="s">
        <v>47</v>
      </c>
      <c r="P175" t="s">
        <v>54</v>
      </c>
      <c r="Q175">
        <v>0</v>
      </c>
      <c r="R175">
        <v>800</v>
      </c>
      <c r="S175">
        <v>0</v>
      </c>
      <c r="T175">
        <v>0</v>
      </c>
      <c r="U175">
        <v>0</v>
      </c>
      <c r="V175" t="s">
        <v>48</v>
      </c>
      <c r="W175">
        <v>0</v>
      </c>
      <c r="X175">
        <v>0</v>
      </c>
      <c r="Y175" t="s">
        <v>49</v>
      </c>
      <c r="Z175" t="s">
        <v>49</v>
      </c>
    </row>
    <row r="176" spans="1:26" x14ac:dyDescent="0.35">
      <c r="A176" t="s">
        <v>385</v>
      </c>
      <c r="B176" s="2">
        <v>46003</v>
      </c>
      <c r="C176">
        <v>2025</v>
      </c>
      <c r="D176">
        <v>12</v>
      </c>
      <c r="E176" t="s">
        <v>103</v>
      </c>
      <c r="F176" t="s">
        <v>537</v>
      </c>
      <c r="G176" t="s">
        <v>162</v>
      </c>
      <c r="H176" t="s">
        <v>163</v>
      </c>
      <c r="I176" t="s">
        <v>63</v>
      </c>
      <c r="J176" t="s">
        <v>58</v>
      </c>
      <c r="K176" t="s">
        <v>108</v>
      </c>
      <c r="L176">
        <v>874.08</v>
      </c>
      <c r="M176" t="s">
        <v>73</v>
      </c>
      <c r="N176" t="s">
        <v>273</v>
      </c>
      <c r="O176" t="s">
        <v>66</v>
      </c>
      <c r="P176" t="s">
        <v>89</v>
      </c>
      <c r="Q176">
        <v>1</v>
      </c>
      <c r="R176">
        <v>800</v>
      </c>
      <c r="S176">
        <v>74.08</v>
      </c>
      <c r="T176">
        <v>0</v>
      </c>
      <c r="U176">
        <v>0</v>
      </c>
      <c r="V176" t="s">
        <v>48</v>
      </c>
      <c r="W176">
        <v>1</v>
      </c>
      <c r="X176">
        <v>874.08</v>
      </c>
      <c r="Y176" t="s">
        <v>67</v>
      </c>
      <c r="Z176" t="s">
        <v>220</v>
      </c>
    </row>
    <row r="177" spans="1:26" x14ac:dyDescent="0.35">
      <c r="A177" t="s">
        <v>386</v>
      </c>
      <c r="B177" s="2">
        <v>45716</v>
      </c>
      <c r="C177">
        <v>2025</v>
      </c>
      <c r="D177">
        <v>2</v>
      </c>
      <c r="E177" t="s">
        <v>51</v>
      </c>
      <c r="F177" t="s">
        <v>532</v>
      </c>
      <c r="G177" t="s">
        <v>189</v>
      </c>
      <c r="H177" t="s">
        <v>190</v>
      </c>
      <c r="I177" t="s">
        <v>93</v>
      </c>
      <c r="J177" t="s">
        <v>54</v>
      </c>
      <c r="K177" t="s">
        <v>81</v>
      </c>
      <c r="L177">
        <v>28.62</v>
      </c>
      <c r="M177" t="s">
        <v>45</v>
      </c>
      <c r="N177" t="s">
        <v>46</v>
      </c>
      <c r="O177" t="s">
        <v>47</v>
      </c>
      <c r="P177" t="s">
        <v>94</v>
      </c>
      <c r="Q177">
        <v>0</v>
      </c>
      <c r="R177">
        <v>75</v>
      </c>
      <c r="S177">
        <v>0</v>
      </c>
      <c r="T177">
        <v>0</v>
      </c>
      <c r="U177">
        <v>0</v>
      </c>
      <c r="V177" t="s">
        <v>48</v>
      </c>
      <c r="W177">
        <v>0</v>
      </c>
      <c r="X177">
        <v>0</v>
      </c>
      <c r="Y177" t="s">
        <v>49</v>
      </c>
      <c r="Z177" t="s">
        <v>49</v>
      </c>
    </row>
    <row r="178" spans="1:26" x14ac:dyDescent="0.35">
      <c r="A178" t="s">
        <v>387</v>
      </c>
      <c r="B178" s="2">
        <v>45958</v>
      </c>
      <c r="C178">
        <v>2025</v>
      </c>
      <c r="D178">
        <v>10</v>
      </c>
      <c r="E178" t="s">
        <v>39</v>
      </c>
      <c r="F178" t="s">
        <v>531</v>
      </c>
      <c r="G178" t="s">
        <v>189</v>
      </c>
      <c r="H178" t="s">
        <v>190</v>
      </c>
      <c r="I178" t="s">
        <v>93</v>
      </c>
      <c r="J178" t="s">
        <v>54</v>
      </c>
      <c r="K178" t="s">
        <v>87</v>
      </c>
      <c r="L178">
        <v>23.51</v>
      </c>
      <c r="M178" t="s">
        <v>45</v>
      </c>
      <c r="N178" t="s">
        <v>231</v>
      </c>
      <c r="O178" t="s">
        <v>57</v>
      </c>
      <c r="P178" t="s">
        <v>111</v>
      </c>
      <c r="Q178">
        <v>0</v>
      </c>
      <c r="R178">
        <v>50</v>
      </c>
      <c r="S178">
        <v>0</v>
      </c>
      <c r="T178">
        <v>1</v>
      </c>
      <c r="U178">
        <v>23.51</v>
      </c>
      <c r="V178" t="s">
        <v>33</v>
      </c>
      <c r="W178">
        <v>0</v>
      </c>
      <c r="X178">
        <v>0</v>
      </c>
      <c r="Y178" t="s">
        <v>67</v>
      </c>
      <c r="Z178" t="s">
        <v>33</v>
      </c>
    </row>
    <row r="179" spans="1:26" x14ac:dyDescent="0.35">
      <c r="A179" t="s">
        <v>388</v>
      </c>
      <c r="B179" s="2">
        <v>45791</v>
      </c>
      <c r="C179">
        <v>2025</v>
      </c>
      <c r="D179">
        <v>5</v>
      </c>
      <c r="E179" t="s">
        <v>113</v>
      </c>
      <c r="F179" t="s">
        <v>538</v>
      </c>
      <c r="G179" t="s">
        <v>173</v>
      </c>
      <c r="H179" t="s">
        <v>174</v>
      </c>
      <c r="I179" t="s">
        <v>93</v>
      </c>
      <c r="J179" t="s">
        <v>43</v>
      </c>
      <c r="K179" t="s">
        <v>72</v>
      </c>
      <c r="L179">
        <v>89.27</v>
      </c>
      <c r="M179" t="s">
        <v>45</v>
      </c>
      <c r="N179" t="s">
        <v>144</v>
      </c>
      <c r="O179" t="s">
        <v>66</v>
      </c>
      <c r="P179" t="s">
        <v>75</v>
      </c>
      <c r="Q179">
        <v>1</v>
      </c>
      <c r="R179">
        <v>75</v>
      </c>
      <c r="S179">
        <v>14.27</v>
      </c>
      <c r="T179">
        <v>1</v>
      </c>
      <c r="U179">
        <v>89.27</v>
      </c>
      <c r="V179" t="s">
        <v>33</v>
      </c>
      <c r="W179">
        <v>0</v>
      </c>
      <c r="X179">
        <v>0</v>
      </c>
      <c r="Y179" t="s">
        <v>67</v>
      </c>
      <c r="Z179" t="s">
        <v>300</v>
      </c>
    </row>
    <row r="180" spans="1:26" x14ac:dyDescent="0.35">
      <c r="A180" t="s">
        <v>389</v>
      </c>
      <c r="B180" s="2">
        <v>45863</v>
      </c>
      <c r="C180">
        <v>2025</v>
      </c>
      <c r="D180">
        <v>7</v>
      </c>
      <c r="E180" t="s">
        <v>60</v>
      </c>
      <c r="F180" t="s">
        <v>533</v>
      </c>
      <c r="G180" t="s">
        <v>147</v>
      </c>
      <c r="H180" t="s">
        <v>148</v>
      </c>
      <c r="I180" t="s">
        <v>93</v>
      </c>
      <c r="J180" t="s">
        <v>54</v>
      </c>
      <c r="K180" t="s">
        <v>72</v>
      </c>
      <c r="L180">
        <v>50.08</v>
      </c>
      <c r="M180" t="s">
        <v>73</v>
      </c>
      <c r="N180" t="s">
        <v>65</v>
      </c>
      <c r="O180" t="s">
        <v>66</v>
      </c>
      <c r="P180" t="s">
        <v>75</v>
      </c>
      <c r="Q180">
        <v>0</v>
      </c>
      <c r="R180">
        <v>75</v>
      </c>
      <c r="S180">
        <v>0</v>
      </c>
      <c r="T180">
        <v>0</v>
      </c>
      <c r="U180">
        <v>0</v>
      </c>
      <c r="V180" t="s">
        <v>48</v>
      </c>
      <c r="W180">
        <v>1</v>
      </c>
      <c r="X180">
        <v>50.08</v>
      </c>
      <c r="Y180" t="s">
        <v>67</v>
      </c>
      <c r="Z180" t="s">
        <v>73</v>
      </c>
    </row>
    <row r="181" spans="1:26" x14ac:dyDescent="0.35">
      <c r="A181" t="s">
        <v>390</v>
      </c>
      <c r="B181" s="2">
        <v>45677</v>
      </c>
      <c r="C181">
        <v>2025</v>
      </c>
      <c r="D181">
        <v>1</v>
      </c>
      <c r="E181" t="s">
        <v>169</v>
      </c>
      <c r="F181" t="s">
        <v>542</v>
      </c>
      <c r="G181" t="s">
        <v>118</v>
      </c>
      <c r="H181" t="s">
        <v>119</v>
      </c>
      <c r="I181" t="s">
        <v>42</v>
      </c>
      <c r="J181" t="s">
        <v>54</v>
      </c>
      <c r="K181" t="s">
        <v>108</v>
      </c>
      <c r="L181">
        <v>911.13</v>
      </c>
      <c r="M181" t="s">
        <v>45</v>
      </c>
      <c r="N181" t="s">
        <v>116</v>
      </c>
      <c r="O181" t="s">
        <v>57</v>
      </c>
      <c r="P181" t="s">
        <v>137</v>
      </c>
      <c r="Q181">
        <v>1</v>
      </c>
      <c r="R181">
        <v>800</v>
      </c>
      <c r="S181">
        <v>111.13</v>
      </c>
      <c r="T181">
        <v>0</v>
      </c>
      <c r="U181">
        <v>0</v>
      </c>
      <c r="V181" t="s">
        <v>48</v>
      </c>
      <c r="W181">
        <v>0</v>
      </c>
      <c r="X181">
        <v>0</v>
      </c>
      <c r="Y181" t="s">
        <v>67</v>
      </c>
      <c r="Z181" t="s">
        <v>32</v>
      </c>
    </row>
    <row r="182" spans="1:26" x14ac:dyDescent="0.35">
      <c r="A182" t="s">
        <v>391</v>
      </c>
      <c r="B182" s="2">
        <v>45922</v>
      </c>
      <c r="C182">
        <v>2025</v>
      </c>
      <c r="D182">
        <v>9</v>
      </c>
      <c r="E182" t="s">
        <v>121</v>
      </c>
      <c r="F182" t="s">
        <v>539</v>
      </c>
      <c r="G182" t="s">
        <v>61</v>
      </c>
      <c r="H182" t="s">
        <v>62</v>
      </c>
      <c r="I182" t="s">
        <v>63</v>
      </c>
      <c r="J182" t="s">
        <v>54</v>
      </c>
      <c r="K182" t="s">
        <v>81</v>
      </c>
      <c r="L182">
        <v>54.47</v>
      </c>
      <c r="M182" t="s">
        <v>45</v>
      </c>
      <c r="N182" t="s">
        <v>88</v>
      </c>
      <c r="O182" t="s">
        <v>66</v>
      </c>
      <c r="P182" t="s">
        <v>94</v>
      </c>
      <c r="Q182">
        <v>0</v>
      </c>
      <c r="R182">
        <v>75</v>
      </c>
      <c r="S182">
        <v>0</v>
      </c>
      <c r="T182">
        <v>0</v>
      </c>
      <c r="U182">
        <v>0</v>
      </c>
      <c r="V182" t="s">
        <v>48</v>
      </c>
      <c r="W182">
        <v>0</v>
      </c>
      <c r="X182">
        <v>0</v>
      </c>
      <c r="Y182" t="s">
        <v>49</v>
      </c>
      <c r="Z182" t="s">
        <v>49</v>
      </c>
    </row>
    <row r="183" spans="1:26" x14ac:dyDescent="0.35">
      <c r="A183" t="s">
        <v>392</v>
      </c>
      <c r="B183" s="2">
        <v>45852</v>
      </c>
      <c r="C183">
        <v>2025</v>
      </c>
      <c r="D183">
        <v>7</v>
      </c>
      <c r="E183" t="s">
        <v>60</v>
      </c>
      <c r="F183" t="s">
        <v>533</v>
      </c>
      <c r="G183" t="s">
        <v>198</v>
      </c>
      <c r="H183" t="s">
        <v>199</v>
      </c>
      <c r="I183" t="s">
        <v>71</v>
      </c>
      <c r="J183" t="s">
        <v>54</v>
      </c>
      <c r="K183" t="s">
        <v>81</v>
      </c>
      <c r="L183">
        <v>69.209999999999994</v>
      </c>
      <c r="M183" t="s">
        <v>73</v>
      </c>
      <c r="N183" t="s">
        <v>226</v>
      </c>
      <c r="O183" t="s">
        <v>66</v>
      </c>
      <c r="P183" t="s">
        <v>94</v>
      </c>
      <c r="Q183">
        <v>0</v>
      </c>
      <c r="R183">
        <v>75</v>
      </c>
      <c r="S183">
        <v>0</v>
      </c>
      <c r="T183">
        <v>0</v>
      </c>
      <c r="U183">
        <v>0</v>
      </c>
      <c r="V183" t="s">
        <v>48</v>
      </c>
      <c r="W183">
        <v>1</v>
      </c>
      <c r="X183">
        <v>69.209999999999994</v>
      </c>
      <c r="Y183" t="s">
        <v>67</v>
      </c>
      <c r="Z183" t="s">
        <v>73</v>
      </c>
    </row>
    <row r="184" spans="1:26" x14ac:dyDescent="0.35">
      <c r="A184" t="s">
        <v>393</v>
      </c>
      <c r="B184" s="2">
        <v>45719</v>
      </c>
      <c r="C184">
        <v>2025</v>
      </c>
      <c r="D184">
        <v>3</v>
      </c>
      <c r="E184" t="s">
        <v>135</v>
      </c>
      <c r="F184" t="s">
        <v>541</v>
      </c>
      <c r="G184" t="s">
        <v>162</v>
      </c>
      <c r="H184" t="s">
        <v>163</v>
      </c>
      <c r="I184" t="s">
        <v>63</v>
      </c>
      <c r="J184" t="s">
        <v>58</v>
      </c>
      <c r="K184" t="s">
        <v>87</v>
      </c>
      <c r="L184">
        <v>23.11</v>
      </c>
      <c r="M184" t="s">
        <v>45</v>
      </c>
      <c r="N184" t="s">
        <v>88</v>
      </c>
      <c r="O184" t="s">
        <v>66</v>
      </c>
      <c r="P184" t="s">
        <v>156</v>
      </c>
      <c r="Q184">
        <v>0</v>
      </c>
      <c r="R184">
        <v>50</v>
      </c>
      <c r="S184">
        <v>0</v>
      </c>
      <c r="T184">
        <v>0</v>
      </c>
      <c r="U184">
        <v>0</v>
      </c>
      <c r="V184" t="s">
        <v>48</v>
      </c>
      <c r="W184">
        <v>0</v>
      </c>
      <c r="X184">
        <v>0</v>
      </c>
      <c r="Y184" t="s">
        <v>49</v>
      </c>
      <c r="Z184" t="s">
        <v>49</v>
      </c>
    </row>
    <row r="185" spans="1:26" x14ac:dyDescent="0.35">
      <c r="A185" t="s">
        <v>394</v>
      </c>
      <c r="B185" s="2">
        <v>45867</v>
      </c>
      <c r="C185">
        <v>2025</v>
      </c>
      <c r="D185">
        <v>7</v>
      </c>
      <c r="E185" t="s">
        <v>60</v>
      </c>
      <c r="F185" t="s">
        <v>533</v>
      </c>
      <c r="G185" t="s">
        <v>395</v>
      </c>
      <c r="H185" t="s">
        <v>396</v>
      </c>
      <c r="I185" t="s">
        <v>93</v>
      </c>
      <c r="J185" t="s">
        <v>54</v>
      </c>
      <c r="K185" t="s">
        <v>87</v>
      </c>
      <c r="L185">
        <v>14.56</v>
      </c>
      <c r="M185" t="s">
        <v>45</v>
      </c>
      <c r="N185" t="s">
        <v>136</v>
      </c>
      <c r="O185" t="s">
        <v>57</v>
      </c>
      <c r="P185" t="s">
        <v>106</v>
      </c>
      <c r="Q185">
        <v>0</v>
      </c>
      <c r="R185">
        <v>50</v>
      </c>
      <c r="S185">
        <v>0</v>
      </c>
      <c r="T185">
        <v>1</v>
      </c>
      <c r="U185">
        <v>14.56</v>
      </c>
      <c r="V185" t="s">
        <v>33</v>
      </c>
      <c r="W185">
        <v>0</v>
      </c>
      <c r="X185">
        <v>0</v>
      </c>
      <c r="Y185" t="s">
        <v>67</v>
      </c>
      <c r="Z185" t="s">
        <v>33</v>
      </c>
    </row>
    <row r="186" spans="1:26" x14ac:dyDescent="0.35">
      <c r="A186" t="s">
        <v>397</v>
      </c>
      <c r="B186" s="2">
        <v>45944</v>
      </c>
      <c r="C186">
        <v>2025</v>
      </c>
      <c r="D186">
        <v>10</v>
      </c>
      <c r="E186" t="s">
        <v>39</v>
      </c>
      <c r="F186" t="s">
        <v>531</v>
      </c>
      <c r="G186" t="s">
        <v>84</v>
      </c>
      <c r="H186" t="s">
        <v>85</v>
      </c>
      <c r="I186" t="s">
        <v>86</v>
      </c>
      <c r="J186" t="s">
        <v>58</v>
      </c>
      <c r="K186" t="s">
        <v>87</v>
      </c>
      <c r="L186">
        <v>29.82</v>
      </c>
      <c r="M186" t="s">
        <v>73</v>
      </c>
      <c r="N186" t="s">
        <v>46</v>
      </c>
      <c r="O186" t="s">
        <v>47</v>
      </c>
      <c r="P186" t="s">
        <v>223</v>
      </c>
      <c r="Q186">
        <v>0</v>
      </c>
      <c r="R186">
        <v>50</v>
      </c>
      <c r="S186">
        <v>0</v>
      </c>
      <c r="T186">
        <v>0</v>
      </c>
      <c r="U186">
        <v>0</v>
      </c>
      <c r="V186" t="s">
        <v>48</v>
      </c>
      <c r="W186">
        <v>1</v>
      </c>
      <c r="X186">
        <v>29.82</v>
      </c>
      <c r="Y186" t="s">
        <v>67</v>
      </c>
      <c r="Z186" t="s">
        <v>73</v>
      </c>
    </row>
    <row r="187" spans="1:26" x14ac:dyDescent="0.35">
      <c r="A187" t="s">
        <v>398</v>
      </c>
      <c r="B187" s="2">
        <v>45756</v>
      </c>
      <c r="C187">
        <v>2025</v>
      </c>
      <c r="D187">
        <v>4</v>
      </c>
      <c r="E187" t="s">
        <v>77</v>
      </c>
      <c r="F187" t="s">
        <v>534</v>
      </c>
      <c r="G187" t="s">
        <v>61</v>
      </c>
      <c r="H187" t="s">
        <v>62</v>
      </c>
      <c r="I187" t="s">
        <v>63</v>
      </c>
      <c r="J187" t="s">
        <v>54</v>
      </c>
      <c r="K187" t="s">
        <v>72</v>
      </c>
      <c r="L187">
        <v>48.51</v>
      </c>
      <c r="M187" t="s">
        <v>45</v>
      </c>
      <c r="N187" t="s">
        <v>136</v>
      </c>
      <c r="O187" t="s">
        <v>57</v>
      </c>
      <c r="P187" t="s">
        <v>137</v>
      </c>
      <c r="Q187">
        <v>0</v>
      </c>
      <c r="R187">
        <v>75</v>
      </c>
      <c r="S187">
        <v>0</v>
      </c>
      <c r="T187">
        <v>0</v>
      </c>
      <c r="U187">
        <v>0</v>
      </c>
      <c r="V187" t="s">
        <v>48</v>
      </c>
      <c r="W187">
        <v>0</v>
      </c>
      <c r="X187">
        <v>0</v>
      </c>
      <c r="Y187" t="s">
        <v>49</v>
      </c>
      <c r="Z187" t="s">
        <v>49</v>
      </c>
    </row>
    <row r="188" spans="1:26" x14ac:dyDescent="0.35">
      <c r="A188" t="s">
        <v>399</v>
      </c>
      <c r="B188" s="2">
        <v>45695</v>
      </c>
      <c r="C188">
        <v>2025</v>
      </c>
      <c r="D188">
        <v>2</v>
      </c>
      <c r="E188" t="s">
        <v>51</v>
      </c>
      <c r="F188" t="s">
        <v>532</v>
      </c>
      <c r="G188" t="s">
        <v>127</v>
      </c>
      <c r="H188" t="s">
        <v>128</v>
      </c>
      <c r="I188" t="s">
        <v>63</v>
      </c>
      <c r="J188" t="s">
        <v>54</v>
      </c>
      <c r="K188" t="s">
        <v>72</v>
      </c>
      <c r="L188">
        <v>27.72</v>
      </c>
      <c r="M188" t="s">
        <v>45</v>
      </c>
      <c r="N188" t="s">
        <v>144</v>
      </c>
      <c r="O188" t="s">
        <v>66</v>
      </c>
      <c r="P188" t="s">
        <v>111</v>
      </c>
      <c r="Q188">
        <v>0</v>
      </c>
      <c r="R188">
        <v>75</v>
      </c>
      <c r="S188">
        <v>0</v>
      </c>
      <c r="T188">
        <v>0</v>
      </c>
      <c r="U188">
        <v>0</v>
      </c>
      <c r="V188" t="s">
        <v>48</v>
      </c>
      <c r="W188">
        <v>0</v>
      </c>
      <c r="X188">
        <v>0</v>
      </c>
      <c r="Y188" t="s">
        <v>49</v>
      </c>
      <c r="Z188" t="s">
        <v>49</v>
      </c>
    </row>
    <row r="189" spans="1:26" x14ac:dyDescent="0.35">
      <c r="A189" t="s">
        <v>400</v>
      </c>
      <c r="B189" s="2">
        <v>45747</v>
      </c>
      <c r="C189">
        <v>2025</v>
      </c>
      <c r="D189">
        <v>3</v>
      </c>
      <c r="E189" t="s">
        <v>135</v>
      </c>
      <c r="F189" t="s">
        <v>541</v>
      </c>
      <c r="G189" t="s">
        <v>91</v>
      </c>
      <c r="H189" t="s">
        <v>92</v>
      </c>
      <c r="I189" t="s">
        <v>93</v>
      </c>
      <c r="J189" t="s">
        <v>54</v>
      </c>
      <c r="K189" t="s">
        <v>87</v>
      </c>
      <c r="L189">
        <v>21.53</v>
      </c>
      <c r="M189" t="s">
        <v>45</v>
      </c>
      <c r="N189" t="s">
        <v>122</v>
      </c>
      <c r="O189" t="s">
        <v>100</v>
      </c>
      <c r="P189" t="s">
        <v>106</v>
      </c>
      <c r="Q189">
        <v>0</v>
      </c>
      <c r="R189">
        <v>50</v>
      </c>
      <c r="S189">
        <v>0</v>
      </c>
      <c r="T189">
        <v>0</v>
      </c>
      <c r="U189">
        <v>0</v>
      </c>
      <c r="V189" t="s">
        <v>48</v>
      </c>
      <c r="W189">
        <v>0</v>
      </c>
      <c r="X189">
        <v>0</v>
      </c>
      <c r="Y189" t="s">
        <v>49</v>
      </c>
      <c r="Z189" t="s">
        <v>49</v>
      </c>
    </row>
    <row r="190" spans="1:26" x14ac:dyDescent="0.35">
      <c r="A190" t="s">
        <v>401</v>
      </c>
      <c r="B190" s="2">
        <v>45918</v>
      </c>
      <c r="C190">
        <v>2025</v>
      </c>
      <c r="D190">
        <v>9</v>
      </c>
      <c r="E190" t="s">
        <v>121</v>
      </c>
      <c r="F190" t="s">
        <v>539</v>
      </c>
      <c r="G190" t="s">
        <v>91</v>
      </c>
      <c r="H190" t="s">
        <v>92</v>
      </c>
      <c r="I190" t="s">
        <v>93</v>
      </c>
      <c r="J190" t="s">
        <v>54</v>
      </c>
      <c r="K190" t="s">
        <v>72</v>
      </c>
      <c r="L190">
        <v>32.770000000000003</v>
      </c>
      <c r="M190" t="s">
        <v>45</v>
      </c>
      <c r="N190" t="s">
        <v>136</v>
      </c>
      <c r="O190" t="s">
        <v>57</v>
      </c>
      <c r="P190" t="s">
        <v>75</v>
      </c>
      <c r="Q190">
        <v>0</v>
      </c>
      <c r="R190">
        <v>75</v>
      </c>
      <c r="S190">
        <v>0</v>
      </c>
      <c r="T190">
        <v>0</v>
      </c>
      <c r="U190">
        <v>0</v>
      </c>
      <c r="V190" t="s">
        <v>48</v>
      </c>
      <c r="W190">
        <v>0</v>
      </c>
      <c r="X190">
        <v>0</v>
      </c>
      <c r="Y190" t="s">
        <v>49</v>
      </c>
      <c r="Z190" t="s">
        <v>49</v>
      </c>
    </row>
    <row r="191" spans="1:26" x14ac:dyDescent="0.35">
      <c r="A191" t="s">
        <v>402</v>
      </c>
      <c r="B191" s="2">
        <v>45786</v>
      </c>
      <c r="C191">
        <v>2025</v>
      </c>
      <c r="D191">
        <v>5</v>
      </c>
      <c r="E191" t="s">
        <v>113</v>
      </c>
      <c r="F191" t="s">
        <v>538</v>
      </c>
      <c r="G191" t="s">
        <v>184</v>
      </c>
      <c r="H191" t="s">
        <v>185</v>
      </c>
      <c r="I191" t="s">
        <v>93</v>
      </c>
      <c r="J191" t="s">
        <v>43</v>
      </c>
      <c r="K191" t="s">
        <v>55</v>
      </c>
      <c r="L191">
        <v>271.72000000000003</v>
      </c>
      <c r="M191" t="s">
        <v>73</v>
      </c>
      <c r="N191" t="s">
        <v>104</v>
      </c>
      <c r="O191" t="s">
        <v>105</v>
      </c>
      <c r="P191" t="s">
        <v>145</v>
      </c>
      <c r="Q191">
        <v>0</v>
      </c>
      <c r="R191">
        <v>300</v>
      </c>
      <c r="S191">
        <v>0</v>
      </c>
      <c r="T191">
        <v>0</v>
      </c>
      <c r="U191">
        <v>0</v>
      </c>
      <c r="V191" t="s">
        <v>48</v>
      </c>
      <c r="W191">
        <v>1</v>
      </c>
      <c r="X191">
        <v>271.72000000000003</v>
      </c>
      <c r="Y191" t="s">
        <v>67</v>
      </c>
      <c r="Z191" t="s">
        <v>73</v>
      </c>
    </row>
    <row r="192" spans="1:26" x14ac:dyDescent="0.35">
      <c r="A192" t="s">
        <v>403</v>
      </c>
      <c r="B192" s="2">
        <v>45973</v>
      </c>
      <c r="C192">
        <v>2025</v>
      </c>
      <c r="D192">
        <v>11</v>
      </c>
      <c r="E192" t="s">
        <v>132</v>
      </c>
      <c r="F192" t="s">
        <v>540</v>
      </c>
      <c r="G192" t="s">
        <v>162</v>
      </c>
      <c r="H192" t="s">
        <v>163</v>
      </c>
      <c r="I192" t="s">
        <v>63</v>
      </c>
      <c r="J192" t="s">
        <v>58</v>
      </c>
      <c r="K192" t="s">
        <v>64</v>
      </c>
      <c r="L192">
        <v>17.3</v>
      </c>
      <c r="M192" t="s">
        <v>45</v>
      </c>
      <c r="N192" t="s">
        <v>65</v>
      </c>
      <c r="O192" t="s">
        <v>66</v>
      </c>
      <c r="P192" t="s">
        <v>167</v>
      </c>
      <c r="Q192">
        <v>0</v>
      </c>
      <c r="R192">
        <v>30</v>
      </c>
      <c r="S192">
        <v>0</v>
      </c>
      <c r="T192">
        <v>0</v>
      </c>
      <c r="U192">
        <v>0</v>
      </c>
      <c r="V192" t="s">
        <v>48</v>
      </c>
      <c r="W192">
        <v>0</v>
      </c>
      <c r="X192">
        <v>0</v>
      </c>
      <c r="Y192" t="s">
        <v>49</v>
      </c>
      <c r="Z192" t="s">
        <v>49</v>
      </c>
    </row>
    <row r="193" spans="1:26" x14ac:dyDescent="0.35">
      <c r="A193" t="s">
        <v>404</v>
      </c>
      <c r="B193" s="2">
        <v>45909</v>
      </c>
      <c r="C193">
        <v>2025</v>
      </c>
      <c r="D193">
        <v>9</v>
      </c>
      <c r="E193" t="s">
        <v>121</v>
      </c>
      <c r="F193" t="s">
        <v>539</v>
      </c>
      <c r="G193" t="s">
        <v>259</v>
      </c>
      <c r="H193" t="s">
        <v>260</v>
      </c>
      <c r="I193" t="s">
        <v>86</v>
      </c>
      <c r="J193" t="s">
        <v>43</v>
      </c>
      <c r="K193" t="s">
        <v>87</v>
      </c>
      <c r="L193">
        <v>16.329999999999998</v>
      </c>
      <c r="M193" t="s">
        <v>45</v>
      </c>
      <c r="N193" t="s">
        <v>405</v>
      </c>
      <c r="O193" t="s">
        <v>66</v>
      </c>
      <c r="P193" t="s">
        <v>75</v>
      </c>
      <c r="Q193">
        <v>0</v>
      </c>
      <c r="R193">
        <v>50</v>
      </c>
      <c r="S193">
        <v>0</v>
      </c>
      <c r="T193">
        <v>0</v>
      </c>
      <c r="U193">
        <v>0</v>
      </c>
      <c r="V193" t="s">
        <v>48</v>
      </c>
      <c r="W193">
        <v>0</v>
      </c>
      <c r="X193">
        <v>0</v>
      </c>
      <c r="Y193" t="s">
        <v>49</v>
      </c>
      <c r="Z193" t="s">
        <v>49</v>
      </c>
    </row>
    <row r="194" spans="1:26" x14ac:dyDescent="0.35">
      <c r="A194" t="s">
        <v>406</v>
      </c>
      <c r="B194" s="2">
        <v>45940</v>
      </c>
      <c r="C194">
        <v>2025</v>
      </c>
      <c r="D194">
        <v>10</v>
      </c>
      <c r="E194" t="s">
        <v>39</v>
      </c>
      <c r="F194" t="s">
        <v>531</v>
      </c>
      <c r="G194" t="s">
        <v>407</v>
      </c>
      <c r="H194" t="s">
        <v>408</v>
      </c>
      <c r="I194" t="s">
        <v>80</v>
      </c>
      <c r="J194" t="s">
        <v>58</v>
      </c>
      <c r="K194" t="s">
        <v>44</v>
      </c>
      <c r="L194">
        <v>125.61</v>
      </c>
      <c r="M194" t="s">
        <v>45</v>
      </c>
      <c r="N194" t="s">
        <v>144</v>
      </c>
      <c r="O194" t="s">
        <v>66</v>
      </c>
      <c r="P194" t="s">
        <v>43</v>
      </c>
      <c r="Q194">
        <v>0</v>
      </c>
      <c r="R194">
        <v>150</v>
      </c>
      <c r="S194">
        <v>0</v>
      </c>
      <c r="T194">
        <v>0</v>
      </c>
      <c r="U194">
        <v>0</v>
      </c>
      <c r="V194" t="s">
        <v>48</v>
      </c>
      <c r="W194">
        <v>0</v>
      </c>
      <c r="X194">
        <v>0</v>
      </c>
      <c r="Y194" t="s">
        <v>49</v>
      </c>
      <c r="Z194" t="s">
        <v>49</v>
      </c>
    </row>
    <row r="195" spans="1:26" x14ac:dyDescent="0.35">
      <c r="A195" t="s">
        <v>409</v>
      </c>
      <c r="B195" s="2">
        <v>45876</v>
      </c>
      <c r="C195">
        <v>2025</v>
      </c>
      <c r="D195">
        <v>8</v>
      </c>
      <c r="E195" t="s">
        <v>96</v>
      </c>
      <c r="F195" t="s">
        <v>536</v>
      </c>
      <c r="G195" t="s">
        <v>141</v>
      </c>
      <c r="H195" t="s">
        <v>142</v>
      </c>
      <c r="I195" t="s">
        <v>71</v>
      </c>
      <c r="J195" t="s">
        <v>58</v>
      </c>
      <c r="K195" t="s">
        <v>81</v>
      </c>
      <c r="L195">
        <v>57.56</v>
      </c>
      <c r="M195" t="s">
        <v>45</v>
      </c>
      <c r="N195" t="s">
        <v>99</v>
      </c>
      <c r="O195" t="s">
        <v>100</v>
      </c>
      <c r="P195" t="s">
        <v>89</v>
      </c>
      <c r="Q195">
        <v>0</v>
      </c>
      <c r="R195">
        <v>75</v>
      </c>
      <c r="S195">
        <v>0</v>
      </c>
      <c r="T195">
        <v>0</v>
      </c>
      <c r="U195">
        <v>0</v>
      </c>
      <c r="V195" t="s">
        <v>48</v>
      </c>
      <c r="W195">
        <v>0</v>
      </c>
      <c r="X195">
        <v>0</v>
      </c>
      <c r="Y195" t="s">
        <v>49</v>
      </c>
      <c r="Z195" t="s">
        <v>49</v>
      </c>
    </row>
    <row r="196" spans="1:26" x14ac:dyDescent="0.35">
      <c r="A196" t="s">
        <v>410</v>
      </c>
      <c r="B196" s="2">
        <v>45706</v>
      </c>
      <c r="C196">
        <v>2025</v>
      </c>
      <c r="D196">
        <v>2</v>
      </c>
      <c r="E196" t="s">
        <v>51</v>
      </c>
      <c r="F196" t="s">
        <v>532</v>
      </c>
      <c r="G196" t="s">
        <v>118</v>
      </c>
      <c r="H196" t="s">
        <v>119</v>
      </c>
      <c r="I196" t="s">
        <v>42</v>
      </c>
      <c r="J196" t="s">
        <v>54</v>
      </c>
      <c r="K196" t="s">
        <v>87</v>
      </c>
      <c r="L196">
        <v>36.700000000000003</v>
      </c>
      <c r="M196" t="s">
        <v>45</v>
      </c>
      <c r="N196" t="s">
        <v>122</v>
      </c>
      <c r="O196" t="s">
        <v>100</v>
      </c>
      <c r="P196" t="s">
        <v>54</v>
      </c>
      <c r="Q196">
        <v>0</v>
      </c>
      <c r="R196">
        <v>50</v>
      </c>
      <c r="S196">
        <v>0</v>
      </c>
      <c r="T196">
        <v>0</v>
      </c>
      <c r="U196">
        <v>0</v>
      </c>
      <c r="V196" t="s">
        <v>48</v>
      </c>
      <c r="W196">
        <v>0</v>
      </c>
      <c r="X196">
        <v>0</v>
      </c>
      <c r="Y196" t="s">
        <v>49</v>
      </c>
      <c r="Z196" t="s">
        <v>49</v>
      </c>
    </row>
    <row r="197" spans="1:26" x14ac:dyDescent="0.35">
      <c r="A197" t="s">
        <v>411</v>
      </c>
      <c r="B197" s="2">
        <v>45799</v>
      </c>
      <c r="C197">
        <v>2025</v>
      </c>
      <c r="D197">
        <v>5</v>
      </c>
      <c r="E197" t="s">
        <v>113</v>
      </c>
      <c r="F197" t="s">
        <v>538</v>
      </c>
      <c r="G197" t="s">
        <v>127</v>
      </c>
      <c r="H197" t="s">
        <v>128</v>
      </c>
      <c r="I197" t="s">
        <v>63</v>
      </c>
      <c r="J197" t="s">
        <v>54</v>
      </c>
      <c r="K197" t="s">
        <v>55</v>
      </c>
      <c r="L197">
        <v>249.6</v>
      </c>
      <c r="M197" t="s">
        <v>73</v>
      </c>
      <c r="N197" t="s">
        <v>304</v>
      </c>
      <c r="O197" t="s">
        <v>110</v>
      </c>
      <c r="P197" t="s">
        <v>94</v>
      </c>
      <c r="Q197">
        <v>0</v>
      </c>
      <c r="R197">
        <v>300</v>
      </c>
      <c r="S197">
        <v>0</v>
      </c>
      <c r="T197">
        <v>1</v>
      </c>
      <c r="U197">
        <v>249.6</v>
      </c>
      <c r="V197" t="s">
        <v>33</v>
      </c>
      <c r="W197">
        <v>1</v>
      </c>
      <c r="X197">
        <v>249.6</v>
      </c>
      <c r="Y197" t="s">
        <v>67</v>
      </c>
      <c r="Z197" t="s">
        <v>101</v>
      </c>
    </row>
    <row r="198" spans="1:26" x14ac:dyDescent="0.35">
      <c r="A198" t="s">
        <v>412</v>
      </c>
      <c r="B198" s="2">
        <v>45805</v>
      </c>
      <c r="C198">
        <v>2025</v>
      </c>
      <c r="D198">
        <v>5</v>
      </c>
      <c r="E198" t="s">
        <v>113</v>
      </c>
      <c r="F198" t="s">
        <v>538</v>
      </c>
      <c r="G198" t="s">
        <v>118</v>
      </c>
      <c r="H198" t="s">
        <v>119</v>
      </c>
      <c r="I198" t="s">
        <v>42</v>
      </c>
      <c r="J198" t="s">
        <v>54</v>
      </c>
      <c r="K198" t="s">
        <v>81</v>
      </c>
      <c r="L198">
        <v>45.77</v>
      </c>
      <c r="M198" t="s">
        <v>73</v>
      </c>
      <c r="N198" t="s">
        <v>254</v>
      </c>
      <c r="O198" t="s">
        <v>105</v>
      </c>
      <c r="P198" t="s">
        <v>54</v>
      </c>
      <c r="Q198">
        <v>0</v>
      </c>
      <c r="R198">
        <v>75</v>
      </c>
      <c r="S198">
        <v>0</v>
      </c>
      <c r="T198">
        <v>0</v>
      </c>
      <c r="U198">
        <v>0</v>
      </c>
      <c r="V198" t="s">
        <v>48</v>
      </c>
      <c r="W198">
        <v>1</v>
      </c>
      <c r="X198">
        <v>45.77</v>
      </c>
      <c r="Y198" t="s">
        <v>67</v>
      </c>
      <c r="Z198" t="s">
        <v>73</v>
      </c>
    </row>
    <row r="199" spans="1:26" x14ac:dyDescent="0.35">
      <c r="A199" t="s">
        <v>413</v>
      </c>
      <c r="B199" s="2">
        <v>45700</v>
      </c>
      <c r="C199">
        <v>2025</v>
      </c>
      <c r="D199">
        <v>2</v>
      </c>
      <c r="E199" t="s">
        <v>51</v>
      </c>
      <c r="F199" t="s">
        <v>532</v>
      </c>
      <c r="G199" t="s">
        <v>266</v>
      </c>
      <c r="H199" t="s">
        <v>267</v>
      </c>
      <c r="I199" t="s">
        <v>42</v>
      </c>
      <c r="J199" t="s">
        <v>54</v>
      </c>
      <c r="K199" t="s">
        <v>108</v>
      </c>
      <c r="L199">
        <v>1339.25</v>
      </c>
      <c r="M199" t="s">
        <v>45</v>
      </c>
      <c r="N199" t="s">
        <v>104</v>
      </c>
      <c r="O199" t="s">
        <v>105</v>
      </c>
      <c r="P199" t="s">
        <v>43</v>
      </c>
      <c r="Q199">
        <v>1</v>
      </c>
      <c r="R199">
        <v>800</v>
      </c>
      <c r="S199">
        <v>539.25</v>
      </c>
      <c r="T199">
        <v>0</v>
      </c>
      <c r="U199">
        <v>0</v>
      </c>
      <c r="V199" t="s">
        <v>48</v>
      </c>
      <c r="W199">
        <v>0</v>
      </c>
      <c r="X199">
        <v>0</v>
      </c>
      <c r="Y199" t="s">
        <v>67</v>
      </c>
      <c r="Z199" t="s">
        <v>32</v>
      </c>
    </row>
    <row r="200" spans="1:26" x14ac:dyDescent="0.35">
      <c r="A200" t="s">
        <v>414</v>
      </c>
      <c r="B200" s="2">
        <v>45775</v>
      </c>
      <c r="C200">
        <v>2025</v>
      </c>
      <c r="D200">
        <v>4</v>
      </c>
      <c r="E200" t="s">
        <v>77</v>
      </c>
      <c r="F200" t="s">
        <v>534</v>
      </c>
      <c r="G200" t="s">
        <v>281</v>
      </c>
      <c r="H200" t="s">
        <v>282</v>
      </c>
      <c r="I200" t="s">
        <v>86</v>
      </c>
      <c r="J200" t="s">
        <v>54</v>
      </c>
      <c r="K200" t="s">
        <v>64</v>
      </c>
      <c r="L200">
        <v>12.87</v>
      </c>
      <c r="M200" t="s">
        <v>45</v>
      </c>
      <c r="N200" t="s">
        <v>228</v>
      </c>
      <c r="O200" t="s">
        <v>47</v>
      </c>
      <c r="P200" t="s">
        <v>58</v>
      </c>
      <c r="Q200">
        <v>0</v>
      </c>
      <c r="R200">
        <v>30</v>
      </c>
      <c r="S200">
        <v>0</v>
      </c>
      <c r="T200">
        <v>0</v>
      </c>
      <c r="U200">
        <v>0</v>
      </c>
      <c r="V200" t="s">
        <v>48</v>
      </c>
      <c r="W200">
        <v>0</v>
      </c>
      <c r="X200">
        <v>0</v>
      </c>
      <c r="Y200" t="s">
        <v>49</v>
      </c>
      <c r="Z200" t="s">
        <v>49</v>
      </c>
    </row>
    <row r="201" spans="1:26" x14ac:dyDescent="0.35">
      <c r="A201" t="s">
        <v>415</v>
      </c>
      <c r="B201" s="2">
        <v>45917</v>
      </c>
      <c r="C201">
        <v>2025</v>
      </c>
      <c r="D201">
        <v>9</v>
      </c>
      <c r="E201" t="s">
        <v>121</v>
      </c>
      <c r="F201" t="s">
        <v>539</v>
      </c>
      <c r="G201" t="s">
        <v>61</v>
      </c>
      <c r="H201" t="s">
        <v>62</v>
      </c>
      <c r="I201" t="s">
        <v>63</v>
      </c>
      <c r="J201" t="s">
        <v>54</v>
      </c>
      <c r="K201" t="s">
        <v>44</v>
      </c>
      <c r="L201">
        <v>137.97</v>
      </c>
      <c r="M201" t="s">
        <v>73</v>
      </c>
      <c r="N201" t="s">
        <v>136</v>
      </c>
      <c r="O201" t="s">
        <v>57</v>
      </c>
      <c r="P201" t="s">
        <v>156</v>
      </c>
      <c r="Q201">
        <v>0</v>
      </c>
      <c r="R201">
        <v>150</v>
      </c>
      <c r="S201">
        <v>0</v>
      </c>
      <c r="T201">
        <v>0</v>
      </c>
      <c r="U201">
        <v>0</v>
      </c>
      <c r="V201" t="s">
        <v>48</v>
      </c>
      <c r="W201">
        <v>1</v>
      </c>
      <c r="X201">
        <v>137.97</v>
      </c>
      <c r="Y201" t="s">
        <v>67</v>
      </c>
      <c r="Z201" t="s">
        <v>73</v>
      </c>
    </row>
    <row r="202" spans="1:26" x14ac:dyDescent="0.35">
      <c r="A202" t="s">
        <v>416</v>
      </c>
      <c r="B202" s="2">
        <v>45978</v>
      </c>
      <c r="C202">
        <v>2025</v>
      </c>
      <c r="D202">
        <v>11</v>
      </c>
      <c r="E202" t="s">
        <v>132</v>
      </c>
      <c r="F202" t="s">
        <v>540</v>
      </c>
      <c r="G202" t="s">
        <v>127</v>
      </c>
      <c r="H202" t="s">
        <v>128</v>
      </c>
      <c r="I202" t="s">
        <v>63</v>
      </c>
      <c r="J202" t="s">
        <v>54</v>
      </c>
      <c r="K202" t="s">
        <v>108</v>
      </c>
      <c r="L202">
        <v>459.45</v>
      </c>
      <c r="M202" t="s">
        <v>45</v>
      </c>
      <c r="N202" t="s">
        <v>144</v>
      </c>
      <c r="O202" t="s">
        <v>66</v>
      </c>
      <c r="P202" t="s">
        <v>54</v>
      </c>
      <c r="Q202">
        <v>0</v>
      </c>
      <c r="R202">
        <v>800</v>
      </c>
      <c r="S202">
        <v>0</v>
      </c>
      <c r="T202">
        <v>0</v>
      </c>
      <c r="U202">
        <v>0</v>
      </c>
      <c r="V202" t="s">
        <v>48</v>
      </c>
      <c r="W202">
        <v>0</v>
      </c>
      <c r="X202">
        <v>0</v>
      </c>
      <c r="Y202" t="s">
        <v>49</v>
      </c>
      <c r="Z202" t="s">
        <v>49</v>
      </c>
    </row>
    <row r="203" spans="1:26" x14ac:dyDescent="0.35">
      <c r="A203" t="s">
        <v>417</v>
      </c>
      <c r="B203" s="2">
        <v>45880</v>
      </c>
      <c r="C203">
        <v>2025</v>
      </c>
      <c r="D203">
        <v>8</v>
      </c>
      <c r="E203" t="s">
        <v>96</v>
      </c>
      <c r="F203" t="s">
        <v>536</v>
      </c>
      <c r="G203" t="s">
        <v>78</v>
      </c>
      <c r="H203" t="s">
        <v>79</v>
      </c>
      <c r="I203" t="s">
        <v>80</v>
      </c>
      <c r="J203" t="s">
        <v>54</v>
      </c>
      <c r="K203" t="s">
        <v>81</v>
      </c>
      <c r="L203">
        <v>38.549999999999997</v>
      </c>
      <c r="M203" t="s">
        <v>73</v>
      </c>
      <c r="N203" t="s">
        <v>136</v>
      </c>
      <c r="O203" t="s">
        <v>57</v>
      </c>
      <c r="P203" t="s">
        <v>106</v>
      </c>
      <c r="Q203">
        <v>0</v>
      </c>
      <c r="R203">
        <v>75</v>
      </c>
      <c r="S203">
        <v>0</v>
      </c>
      <c r="T203">
        <v>0</v>
      </c>
      <c r="U203">
        <v>0</v>
      </c>
      <c r="V203" t="s">
        <v>48</v>
      </c>
      <c r="W203">
        <v>1</v>
      </c>
      <c r="X203">
        <v>38.549999999999997</v>
      </c>
      <c r="Y203" t="s">
        <v>67</v>
      </c>
      <c r="Z203" t="s">
        <v>73</v>
      </c>
    </row>
    <row r="204" spans="1:26" x14ac:dyDescent="0.35">
      <c r="A204" t="s">
        <v>418</v>
      </c>
      <c r="B204" s="2">
        <v>45734</v>
      </c>
      <c r="C204">
        <v>2025</v>
      </c>
      <c r="D204">
        <v>3</v>
      </c>
      <c r="E204" t="s">
        <v>135</v>
      </c>
      <c r="F204" t="s">
        <v>541</v>
      </c>
      <c r="G204" t="s">
        <v>419</v>
      </c>
      <c r="H204" t="s">
        <v>420</v>
      </c>
      <c r="I204" t="s">
        <v>93</v>
      </c>
      <c r="J204" t="s">
        <v>54</v>
      </c>
      <c r="K204" t="s">
        <v>108</v>
      </c>
      <c r="L204">
        <v>596.37</v>
      </c>
      <c r="M204" t="s">
        <v>45</v>
      </c>
      <c r="N204" t="s">
        <v>175</v>
      </c>
      <c r="O204" t="s">
        <v>57</v>
      </c>
      <c r="P204" t="s">
        <v>58</v>
      </c>
      <c r="Q204">
        <v>0</v>
      </c>
      <c r="R204">
        <v>800</v>
      </c>
      <c r="S204">
        <v>0</v>
      </c>
      <c r="T204">
        <v>0</v>
      </c>
      <c r="U204">
        <v>0</v>
      </c>
      <c r="V204" t="s">
        <v>48</v>
      </c>
      <c r="W204">
        <v>0</v>
      </c>
      <c r="X204">
        <v>0</v>
      </c>
      <c r="Y204" t="s">
        <v>49</v>
      </c>
      <c r="Z204" t="s">
        <v>49</v>
      </c>
    </row>
    <row r="205" spans="1:26" x14ac:dyDescent="0.35">
      <c r="A205" t="s">
        <v>421</v>
      </c>
      <c r="B205" s="2">
        <v>45728</v>
      </c>
      <c r="C205">
        <v>2025</v>
      </c>
      <c r="D205">
        <v>3</v>
      </c>
      <c r="E205" t="s">
        <v>135</v>
      </c>
      <c r="F205" t="s">
        <v>541</v>
      </c>
      <c r="G205" t="s">
        <v>40</v>
      </c>
      <c r="H205" t="s">
        <v>41</v>
      </c>
      <c r="I205" t="s">
        <v>42</v>
      </c>
      <c r="J205" t="s">
        <v>43</v>
      </c>
      <c r="K205" t="s">
        <v>55</v>
      </c>
      <c r="L205">
        <v>356.06</v>
      </c>
      <c r="M205" t="s">
        <v>45</v>
      </c>
      <c r="N205" t="s">
        <v>56</v>
      </c>
      <c r="O205" t="s">
        <v>57</v>
      </c>
      <c r="P205" t="s">
        <v>75</v>
      </c>
      <c r="Q205">
        <v>1</v>
      </c>
      <c r="R205">
        <v>300</v>
      </c>
      <c r="S205">
        <v>56.06</v>
      </c>
      <c r="T205">
        <v>0</v>
      </c>
      <c r="U205">
        <v>0</v>
      </c>
      <c r="V205" t="s">
        <v>48</v>
      </c>
      <c r="W205">
        <v>0</v>
      </c>
      <c r="X205">
        <v>0</v>
      </c>
      <c r="Y205" t="s">
        <v>67</v>
      </c>
      <c r="Z205" t="s">
        <v>32</v>
      </c>
    </row>
    <row r="206" spans="1:26" x14ac:dyDescent="0.35">
      <c r="A206" t="s">
        <v>422</v>
      </c>
      <c r="B206" s="2">
        <v>45923</v>
      </c>
      <c r="C206">
        <v>2025</v>
      </c>
      <c r="D206">
        <v>9</v>
      </c>
      <c r="E206" t="s">
        <v>121</v>
      </c>
      <c r="F206" t="s">
        <v>539</v>
      </c>
      <c r="G206" t="s">
        <v>173</v>
      </c>
      <c r="H206" t="s">
        <v>174</v>
      </c>
      <c r="I206" t="s">
        <v>93</v>
      </c>
      <c r="J206" t="s">
        <v>43</v>
      </c>
      <c r="K206" t="s">
        <v>55</v>
      </c>
      <c r="L206">
        <v>258.45999999999998</v>
      </c>
      <c r="M206" t="s">
        <v>45</v>
      </c>
      <c r="N206" t="s">
        <v>175</v>
      </c>
      <c r="O206" t="s">
        <v>57</v>
      </c>
      <c r="P206" t="s">
        <v>209</v>
      </c>
      <c r="Q206">
        <v>0</v>
      </c>
      <c r="R206">
        <v>300</v>
      </c>
      <c r="S206">
        <v>0</v>
      </c>
      <c r="T206">
        <v>0</v>
      </c>
      <c r="U206">
        <v>0</v>
      </c>
      <c r="V206" t="s">
        <v>48</v>
      </c>
      <c r="W206">
        <v>0</v>
      </c>
      <c r="X206">
        <v>0</v>
      </c>
      <c r="Y206" t="s">
        <v>49</v>
      </c>
      <c r="Z206" t="s">
        <v>49</v>
      </c>
    </row>
    <row r="207" spans="1:26" x14ac:dyDescent="0.35">
      <c r="A207" t="s">
        <v>423</v>
      </c>
      <c r="B207" s="2">
        <v>45677</v>
      </c>
      <c r="C207">
        <v>2025</v>
      </c>
      <c r="D207">
        <v>1</v>
      </c>
      <c r="E207" t="s">
        <v>169</v>
      </c>
      <c r="F207" t="s">
        <v>542</v>
      </c>
      <c r="G207" t="s">
        <v>184</v>
      </c>
      <c r="H207" t="s">
        <v>185</v>
      </c>
      <c r="I207" t="s">
        <v>93</v>
      </c>
      <c r="J207" t="s">
        <v>43</v>
      </c>
      <c r="K207" t="s">
        <v>64</v>
      </c>
      <c r="L207">
        <v>17.54</v>
      </c>
      <c r="M207" t="s">
        <v>45</v>
      </c>
      <c r="N207" t="s">
        <v>228</v>
      </c>
      <c r="O207" t="s">
        <v>47</v>
      </c>
      <c r="P207" t="s">
        <v>54</v>
      </c>
      <c r="Q207">
        <v>0</v>
      </c>
      <c r="R207">
        <v>30</v>
      </c>
      <c r="S207">
        <v>0</v>
      </c>
      <c r="T207">
        <v>0</v>
      </c>
      <c r="U207">
        <v>0</v>
      </c>
      <c r="V207" t="s">
        <v>48</v>
      </c>
      <c r="W207">
        <v>0</v>
      </c>
      <c r="X207">
        <v>0</v>
      </c>
      <c r="Y207" t="s">
        <v>49</v>
      </c>
      <c r="Z207" t="s">
        <v>49</v>
      </c>
    </row>
    <row r="208" spans="1:26" x14ac:dyDescent="0.35">
      <c r="A208" t="s">
        <v>424</v>
      </c>
      <c r="B208" s="2">
        <v>45720</v>
      </c>
      <c r="C208">
        <v>2025</v>
      </c>
      <c r="D208">
        <v>3</v>
      </c>
      <c r="E208" t="s">
        <v>135</v>
      </c>
      <c r="F208" t="s">
        <v>541</v>
      </c>
      <c r="G208" t="s">
        <v>419</v>
      </c>
      <c r="H208" t="s">
        <v>420</v>
      </c>
      <c r="I208" t="s">
        <v>93</v>
      </c>
      <c r="J208" t="s">
        <v>54</v>
      </c>
      <c r="K208" t="s">
        <v>108</v>
      </c>
      <c r="L208">
        <v>328.29</v>
      </c>
      <c r="M208" t="s">
        <v>45</v>
      </c>
      <c r="N208" t="s">
        <v>144</v>
      </c>
      <c r="O208" t="s">
        <v>66</v>
      </c>
      <c r="P208" t="s">
        <v>75</v>
      </c>
      <c r="Q208">
        <v>0</v>
      </c>
      <c r="R208">
        <v>800</v>
      </c>
      <c r="S208">
        <v>0</v>
      </c>
      <c r="T208">
        <v>1</v>
      </c>
      <c r="U208">
        <v>328.29</v>
      </c>
      <c r="V208" t="s">
        <v>33</v>
      </c>
      <c r="W208">
        <v>0</v>
      </c>
      <c r="X208">
        <v>0</v>
      </c>
      <c r="Y208" t="s">
        <v>67</v>
      </c>
      <c r="Z208" t="s">
        <v>33</v>
      </c>
    </row>
    <row r="209" spans="1:26" x14ac:dyDescent="0.35">
      <c r="A209" t="s">
        <v>425</v>
      </c>
      <c r="B209" s="2">
        <v>45943</v>
      </c>
      <c r="C209">
        <v>2025</v>
      </c>
      <c r="D209">
        <v>10</v>
      </c>
      <c r="E209" t="s">
        <v>39</v>
      </c>
      <c r="F209" t="s">
        <v>531</v>
      </c>
      <c r="G209" t="s">
        <v>162</v>
      </c>
      <c r="H209" t="s">
        <v>163</v>
      </c>
      <c r="I209" t="s">
        <v>63</v>
      </c>
      <c r="J209" t="s">
        <v>58</v>
      </c>
      <c r="K209" t="s">
        <v>108</v>
      </c>
      <c r="L209">
        <v>524.57000000000005</v>
      </c>
      <c r="M209" t="s">
        <v>45</v>
      </c>
      <c r="N209" t="s">
        <v>304</v>
      </c>
      <c r="O209" t="s">
        <v>110</v>
      </c>
      <c r="P209" t="s">
        <v>58</v>
      </c>
      <c r="Q209">
        <v>0</v>
      </c>
      <c r="R209">
        <v>800</v>
      </c>
      <c r="S209">
        <v>0</v>
      </c>
      <c r="T209">
        <v>0</v>
      </c>
      <c r="U209">
        <v>0</v>
      </c>
      <c r="V209" t="s">
        <v>48</v>
      </c>
      <c r="W209">
        <v>0</v>
      </c>
      <c r="X209">
        <v>0</v>
      </c>
      <c r="Y209" t="s">
        <v>49</v>
      </c>
      <c r="Z209" t="s">
        <v>49</v>
      </c>
    </row>
    <row r="210" spans="1:26" x14ac:dyDescent="0.35">
      <c r="A210" t="s">
        <v>426</v>
      </c>
      <c r="B210" s="2">
        <v>45728</v>
      </c>
      <c r="C210">
        <v>2025</v>
      </c>
      <c r="D210">
        <v>3</v>
      </c>
      <c r="E210" t="s">
        <v>135</v>
      </c>
      <c r="F210" t="s">
        <v>541</v>
      </c>
      <c r="G210" t="s">
        <v>180</v>
      </c>
      <c r="H210" t="s">
        <v>181</v>
      </c>
      <c r="I210" t="s">
        <v>63</v>
      </c>
      <c r="J210" t="s">
        <v>54</v>
      </c>
      <c r="K210" t="s">
        <v>44</v>
      </c>
      <c r="L210">
        <v>49.25</v>
      </c>
      <c r="M210" t="s">
        <v>73</v>
      </c>
      <c r="N210" t="s">
        <v>122</v>
      </c>
      <c r="O210" t="s">
        <v>100</v>
      </c>
      <c r="P210" t="s">
        <v>54</v>
      </c>
      <c r="Q210">
        <v>0</v>
      </c>
      <c r="R210">
        <v>150</v>
      </c>
      <c r="S210">
        <v>0</v>
      </c>
      <c r="T210">
        <v>0</v>
      </c>
      <c r="U210">
        <v>0</v>
      </c>
      <c r="V210" t="s">
        <v>48</v>
      </c>
      <c r="W210">
        <v>1</v>
      </c>
      <c r="X210">
        <v>49.25</v>
      </c>
      <c r="Y210" t="s">
        <v>67</v>
      </c>
      <c r="Z210" t="s">
        <v>73</v>
      </c>
    </row>
    <row r="211" spans="1:26" x14ac:dyDescent="0.35">
      <c r="A211" t="s">
        <v>427</v>
      </c>
      <c r="B211" s="2">
        <v>45826</v>
      </c>
      <c r="C211">
        <v>2025</v>
      </c>
      <c r="D211">
        <v>6</v>
      </c>
      <c r="E211" t="s">
        <v>83</v>
      </c>
      <c r="F211" t="s">
        <v>535</v>
      </c>
      <c r="G211" t="s">
        <v>165</v>
      </c>
      <c r="H211" t="s">
        <v>166</v>
      </c>
      <c r="I211" t="s">
        <v>42</v>
      </c>
      <c r="J211" t="s">
        <v>58</v>
      </c>
      <c r="K211" t="s">
        <v>87</v>
      </c>
      <c r="L211">
        <v>22.85</v>
      </c>
      <c r="M211" t="s">
        <v>73</v>
      </c>
      <c r="N211" t="s">
        <v>254</v>
      </c>
      <c r="O211" t="s">
        <v>105</v>
      </c>
      <c r="P211" t="s">
        <v>156</v>
      </c>
      <c r="Q211">
        <v>0</v>
      </c>
      <c r="R211">
        <v>50</v>
      </c>
      <c r="S211">
        <v>0</v>
      </c>
      <c r="T211">
        <v>0</v>
      </c>
      <c r="U211">
        <v>0</v>
      </c>
      <c r="V211" t="s">
        <v>48</v>
      </c>
      <c r="W211">
        <v>1</v>
      </c>
      <c r="X211">
        <v>22.85</v>
      </c>
      <c r="Y211" t="s">
        <v>67</v>
      </c>
      <c r="Z211" t="s">
        <v>73</v>
      </c>
    </row>
    <row r="212" spans="1:26" x14ac:dyDescent="0.35">
      <c r="A212" t="s">
        <v>428</v>
      </c>
      <c r="B212" s="2">
        <v>45951</v>
      </c>
      <c r="C212">
        <v>2025</v>
      </c>
      <c r="D212">
        <v>10</v>
      </c>
      <c r="E212" t="s">
        <v>39</v>
      </c>
      <c r="F212" t="s">
        <v>531</v>
      </c>
      <c r="G212" t="s">
        <v>147</v>
      </c>
      <c r="H212" t="s">
        <v>148</v>
      </c>
      <c r="I212" t="s">
        <v>93</v>
      </c>
      <c r="J212" t="s">
        <v>54</v>
      </c>
      <c r="K212" t="s">
        <v>81</v>
      </c>
      <c r="L212">
        <v>89.97</v>
      </c>
      <c r="M212" t="s">
        <v>45</v>
      </c>
      <c r="N212" t="s">
        <v>99</v>
      </c>
      <c r="O212" t="s">
        <v>100</v>
      </c>
      <c r="P212" t="s">
        <v>43</v>
      </c>
      <c r="Q212">
        <v>1</v>
      </c>
      <c r="R212">
        <v>75</v>
      </c>
      <c r="S212">
        <v>14.97</v>
      </c>
      <c r="T212">
        <v>1</v>
      </c>
      <c r="U212">
        <v>89.97</v>
      </c>
      <c r="V212" t="s">
        <v>33</v>
      </c>
      <c r="W212">
        <v>0</v>
      </c>
      <c r="X212">
        <v>0</v>
      </c>
      <c r="Y212" t="s">
        <v>67</v>
      </c>
      <c r="Z212" t="s">
        <v>300</v>
      </c>
    </row>
    <row r="213" spans="1:26" x14ac:dyDescent="0.35">
      <c r="A213" t="s">
        <v>429</v>
      </c>
      <c r="B213" s="2">
        <v>45771</v>
      </c>
      <c r="C213">
        <v>2025</v>
      </c>
      <c r="D213">
        <v>4</v>
      </c>
      <c r="E213" t="s">
        <v>77</v>
      </c>
      <c r="F213" t="s">
        <v>534</v>
      </c>
      <c r="G213" t="s">
        <v>248</v>
      </c>
      <c r="H213" t="s">
        <v>249</v>
      </c>
      <c r="I213" t="s">
        <v>63</v>
      </c>
      <c r="J213" t="s">
        <v>43</v>
      </c>
      <c r="K213" t="s">
        <v>55</v>
      </c>
      <c r="L213">
        <v>112.64</v>
      </c>
      <c r="M213" t="s">
        <v>45</v>
      </c>
      <c r="N213" t="s">
        <v>304</v>
      </c>
      <c r="O213" t="s">
        <v>110</v>
      </c>
      <c r="P213" t="s">
        <v>75</v>
      </c>
      <c r="Q213">
        <v>0</v>
      </c>
      <c r="R213">
        <v>300</v>
      </c>
      <c r="S213">
        <v>0</v>
      </c>
      <c r="T213">
        <v>0</v>
      </c>
      <c r="U213">
        <v>0</v>
      </c>
      <c r="V213" t="s">
        <v>48</v>
      </c>
      <c r="W213">
        <v>0</v>
      </c>
      <c r="X213">
        <v>0</v>
      </c>
      <c r="Y213" t="s">
        <v>49</v>
      </c>
      <c r="Z213" t="s">
        <v>49</v>
      </c>
    </row>
    <row r="214" spans="1:26" x14ac:dyDescent="0.35">
      <c r="A214" t="s">
        <v>430</v>
      </c>
      <c r="B214" s="2">
        <v>45751</v>
      </c>
      <c r="C214">
        <v>2025</v>
      </c>
      <c r="D214">
        <v>4</v>
      </c>
      <c r="E214" t="s">
        <v>77</v>
      </c>
      <c r="F214" t="s">
        <v>534</v>
      </c>
      <c r="G214" t="s">
        <v>287</v>
      </c>
      <c r="H214" t="s">
        <v>288</v>
      </c>
      <c r="I214" t="s">
        <v>86</v>
      </c>
      <c r="J214" t="s">
        <v>54</v>
      </c>
      <c r="K214" t="s">
        <v>55</v>
      </c>
      <c r="L214">
        <v>318.68</v>
      </c>
      <c r="M214" t="s">
        <v>73</v>
      </c>
      <c r="N214" t="s">
        <v>136</v>
      </c>
      <c r="O214" t="s">
        <v>57</v>
      </c>
      <c r="P214" t="s">
        <v>106</v>
      </c>
      <c r="Q214">
        <v>1</v>
      </c>
      <c r="R214">
        <v>300</v>
      </c>
      <c r="S214">
        <v>18.68</v>
      </c>
      <c r="T214">
        <v>0</v>
      </c>
      <c r="U214">
        <v>0</v>
      </c>
      <c r="V214" t="s">
        <v>48</v>
      </c>
      <c r="W214">
        <v>1</v>
      </c>
      <c r="X214">
        <v>318.68</v>
      </c>
      <c r="Y214" t="s">
        <v>67</v>
      </c>
      <c r="Z214" t="s">
        <v>220</v>
      </c>
    </row>
    <row r="215" spans="1:26" x14ac:dyDescent="0.35">
      <c r="A215" t="s">
        <v>431</v>
      </c>
      <c r="B215" s="2">
        <v>45875</v>
      </c>
      <c r="C215">
        <v>2025</v>
      </c>
      <c r="D215">
        <v>8</v>
      </c>
      <c r="E215" t="s">
        <v>96</v>
      </c>
      <c r="F215" t="s">
        <v>536</v>
      </c>
      <c r="G215" t="s">
        <v>61</v>
      </c>
      <c r="H215" t="s">
        <v>62</v>
      </c>
      <c r="I215" t="s">
        <v>63</v>
      </c>
      <c r="J215" t="s">
        <v>54</v>
      </c>
      <c r="K215" t="s">
        <v>87</v>
      </c>
      <c r="L215">
        <v>26.03</v>
      </c>
      <c r="M215" t="s">
        <v>45</v>
      </c>
      <c r="N215" t="s">
        <v>187</v>
      </c>
      <c r="O215" t="s">
        <v>110</v>
      </c>
      <c r="P215" t="s">
        <v>106</v>
      </c>
      <c r="Q215">
        <v>0</v>
      </c>
      <c r="R215">
        <v>50</v>
      </c>
      <c r="S215">
        <v>0</v>
      </c>
      <c r="T215">
        <v>0</v>
      </c>
      <c r="U215">
        <v>0</v>
      </c>
      <c r="V215" t="s">
        <v>48</v>
      </c>
      <c r="W215">
        <v>0</v>
      </c>
      <c r="X215">
        <v>0</v>
      </c>
      <c r="Y215" t="s">
        <v>49</v>
      </c>
      <c r="Z215" t="s">
        <v>49</v>
      </c>
    </row>
    <row r="216" spans="1:26" x14ac:dyDescent="0.35">
      <c r="A216" t="s">
        <v>432</v>
      </c>
      <c r="B216" s="2">
        <v>45806</v>
      </c>
      <c r="C216">
        <v>2025</v>
      </c>
      <c r="D216">
        <v>5</v>
      </c>
      <c r="E216" t="s">
        <v>113</v>
      </c>
      <c r="F216" t="s">
        <v>538</v>
      </c>
      <c r="G216" t="s">
        <v>359</v>
      </c>
      <c r="H216" t="s">
        <v>360</v>
      </c>
      <c r="I216" t="s">
        <v>71</v>
      </c>
      <c r="J216" t="s">
        <v>43</v>
      </c>
      <c r="K216" t="s">
        <v>81</v>
      </c>
      <c r="L216">
        <v>61.61</v>
      </c>
      <c r="M216" t="s">
        <v>45</v>
      </c>
      <c r="N216" t="s">
        <v>104</v>
      </c>
      <c r="O216" t="s">
        <v>105</v>
      </c>
      <c r="P216" t="s">
        <v>89</v>
      </c>
      <c r="Q216">
        <v>0</v>
      </c>
      <c r="R216">
        <v>75</v>
      </c>
      <c r="S216">
        <v>0</v>
      </c>
      <c r="T216">
        <v>0</v>
      </c>
      <c r="U216">
        <v>0</v>
      </c>
      <c r="V216" t="s">
        <v>48</v>
      </c>
      <c r="W216">
        <v>0</v>
      </c>
      <c r="X216">
        <v>0</v>
      </c>
      <c r="Y216" t="s">
        <v>49</v>
      </c>
      <c r="Z216" t="s">
        <v>49</v>
      </c>
    </row>
    <row r="217" spans="1:26" x14ac:dyDescent="0.35">
      <c r="A217" t="s">
        <v>433</v>
      </c>
      <c r="B217" s="2">
        <v>45762</v>
      </c>
      <c r="C217">
        <v>2025</v>
      </c>
      <c r="D217">
        <v>4</v>
      </c>
      <c r="E217" t="s">
        <v>77</v>
      </c>
      <c r="F217" t="s">
        <v>534</v>
      </c>
      <c r="G217" t="s">
        <v>173</v>
      </c>
      <c r="H217" t="s">
        <v>174</v>
      </c>
      <c r="I217" t="s">
        <v>93</v>
      </c>
      <c r="J217" t="s">
        <v>43</v>
      </c>
      <c r="K217" t="s">
        <v>81</v>
      </c>
      <c r="L217">
        <v>85.48</v>
      </c>
      <c r="M217" t="s">
        <v>45</v>
      </c>
      <c r="N217" t="s">
        <v>46</v>
      </c>
      <c r="O217" t="s">
        <v>47</v>
      </c>
      <c r="P217" t="s">
        <v>209</v>
      </c>
      <c r="Q217">
        <v>1</v>
      </c>
      <c r="R217">
        <v>75</v>
      </c>
      <c r="S217">
        <v>10.48</v>
      </c>
      <c r="T217">
        <v>0</v>
      </c>
      <c r="U217">
        <v>0</v>
      </c>
      <c r="V217" t="s">
        <v>48</v>
      </c>
      <c r="W217">
        <v>0</v>
      </c>
      <c r="X217">
        <v>0</v>
      </c>
      <c r="Y217" t="s">
        <v>67</v>
      </c>
      <c r="Z217" t="s">
        <v>32</v>
      </c>
    </row>
    <row r="218" spans="1:26" x14ac:dyDescent="0.35">
      <c r="A218" t="s">
        <v>434</v>
      </c>
      <c r="B218" s="2">
        <v>45791</v>
      </c>
      <c r="C218">
        <v>2025</v>
      </c>
      <c r="D218">
        <v>5</v>
      </c>
      <c r="E218" t="s">
        <v>113</v>
      </c>
      <c r="F218" t="s">
        <v>538</v>
      </c>
      <c r="G218" t="s">
        <v>69</v>
      </c>
      <c r="H218" t="s">
        <v>70</v>
      </c>
      <c r="I218" t="s">
        <v>71</v>
      </c>
      <c r="J218" t="s">
        <v>43</v>
      </c>
      <c r="K218" t="s">
        <v>108</v>
      </c>
      <c r="L218">
        <v>1063.06</v>
      </c>
      <c r="M218" t="s">
        <v>45</v>
      </c>
      <c r="N218" t="s">
        <v>46</v>
      </c>
      <c r="O218" t="s">
        <v>47</v>
      </c>
      <c r="P218" t="s">
        <v>54</v>
      </c>
      <c r="Q218">
        <v>1</v>
      </c>
      <c r="R218">
        <v>800</v>
      </c>
      <c r="S218">
        <v>263.06</v>
      </c>
      <c r="T218">
        <v>0</v>
      </c>
      <c r="U218">
        <v>0</v>
      </c>
      <c r="V218" t="s">
        <v>48</v>
      </c>
      <c r="W218">
        <v>0</v>
      </c>
      <c r="X218">
        <v>0</v>
      </c>
      <c r="Y218" t="s">
        <v>67</v>
      </c>
      <c r="Z218" t="s">
        <v>32</v>
      </c>
    </row>
    <row r="219" spans="1:26" x14ac:dyDescent="0.35">
      <c r="A219" t="s">
        <v>435</v>
      </c>
      <c r="B219" s="2">
        <v>45873</v>
      </c>
      <c r="C219">
        <v>2025</v>
      </c>
      <c r="D219">
        <v>8</v>
      </c>
      <c r="E219" t="s">
        <v>96</v>
      </c>
      <c r="F219" t="s">
        <v>536</v>
      </c>
      <c r="G219" t="s">
        <v>61</v>
      </c>
      <c r="H219" t="s">
        <v>62</v>
      </c>
      <c r="I219" t="s">
        <v>63</v>
      </c>
      <c r="J219" t="s">
        <v>54</v>
      </c>
      <c r="K219" t="s">
        <v>87</v>
      </c>
      <c r="L219">
        <v>54.45</v>
      </c>
      <c r="M219" t="s">
        <v>45</v>
      </c>
      <c r="N219" t="s">
        <v>187</v>
      </c>
      <c r="O219" t="s">
        <v>110</v>
      </c>
      <c r="P219" t="s">
        <v>58</v>
      </c>
      <c r="Q219">
        <v>1</v>
      </c>
      <c r="R219">
        <v>50</v>
      </c>
      <c r="S219">
        <v>4.45</v>
      </c>
      <c r="T219">
        <v>1</v>
      </c>
      <c r="U219">
        <v>54.45</v>
      </c>
      <c r="V219" t="s">
        <v>33</v>
      </c>
      <c r="W219">
        <v>0</v>
      </c>
      <c r="X219">
        <v>0</v>
      </c>
      <c r="Y219" t="s">
        <v>67</v>
      </c>
      <c r="Z219" t="s">
        <v>300</v>
      </c>
    </row>
    <row r="220" spans="1:26" x14ac:dyDescent="0.35">
      <c r="A220" t="s">
        <v>436</v>
      </c>
      <c r="B220" s="2">
        <v>45670</v>
      </c>
      <c r="C220">
        <v>2025</v>
      </c>
      <c r="D220">
        <v>1</v>
      </c>
      <c r="E220" t="s">
        <v>169</v>
      </c>
      <c r="F220" t="s">
        <v>542</v>
      </c>
      <c r="G220" t="s">
        <v>141</v>
      </c>
      <c r="H220" t="s">
        <v>142</v>
      </c>
      <c r="I220" t="s">
        <v>71</v>
      </c>
      <c r="J220" t="s">
        <v>58</v>
      </c>
      <c r="K220" t="s">
        <v>108</v>
      </c>
      <c r="L220">
        <v>322.31</v>
      </c>
      <c r="M220" t="s">
        <v>45</v>
      </c>
      <c r="N220" t="s">
        <v>116</v>
      </c>
      <c r="O220" t="s">
        <v>57</v>
      </c>
      <c r="P220" t="s">
        <v>239</v>
      </c>
      <c r="Q220">
        <v>0</v>
      </c>
      <c r="R220">
        <v>800</v>
      </c>
      <c r="S220">
        <v>0</v>
      </c>
      <c r="T220">
        <v>0</v>
      </c>
      <c r="U220">
        <v>0</v>
      </c>
      <c r="V220" t="s">
        <v>48</v>
      </c>
      <c r="W220">
        <v>0</v>
      </c>
      <c r="X220">
        <v>0</v>
      </c>
      <c r="Y220" t="s">
        <v>49</v>
      </c>
      <c r="Z220" t="s">
        <v>49</v>
      </c>
    </row>
    <row r="221" spans="1:26" x14ac:dyDescent="0.35">
      <c r="A221" t="s">
        <v>437</v>
      </c>
      <c r="B221" s="2">
        <v>45901</v>
      </c>
      <c r="C221">
        <v>2025</v>
      </c>
      <c r="D221">
        <v>9</v>
      </c>
      <c r="E221" t="s">
        <v>121</v>
      </c>
      <c r="F221" t="s">
        <v>539</v>
      </c>
      <c r="G221" t="s">
        <v>180</v>
      </c>
      <c r="H221" t="s">
        <v>181</v>
      </c>
      <c r="I221" t="s">
        <v>63</v>
      </c>
      <c r="J221" t="s">
        <v>54</v>
      </c>
      <c r="K221" t="s">
        <v>64</v>
      </c>
      <c r="L221">
        <v>11.94</v>
      </c>
      <c r="M221" t="s">
        <v>73</v>
      </c>
      <c r="N221" t="s">
        <v>136</v>
      </c>
      <c r="O221" t="s">
        <v>57</v>
      </c>
      <c r="P221" t="s">
        <v>58</v>
      </c>
      <c r="Q221">
        <v>0</v>
      </c>
      <c r="R221">
        <v>30</v>
      </c>
      <c r="S221">
        <v>0</v>
      </c>
      <c r="T221">
        <v>1</v>
      </c>
      <c r="U221">
        <v>11.94</v>
      </c>
      <c r="V221" t="s">
        <v>33</v>
      </c>
      <c r="W221">
        <v>1</v>
      </c>
      <c r="X221">
        <v>11.94</v>
      </c>
      <c r="Y221" t="s">
        <v>67</v>
      </c>
      <c r="Z221" t="s">
        <v>101</v>
      </c>
    </row>
    <row r="222" spans="1:26" x14ac:dyDescent="0.35">
      <c r="A222" t="s">
        <v>438</v>
      </c>
      <c r="B222" s="2">
        <v>45950</v>
      </c>
      <c r="C222">
        <v>2025</v>
      </c>
      <c r="D222">
        <v>10</v>
      </c>
      <c r="E222" t="s">
        <v>39</v>
      </c>
      <c r="F222" t="s">
        <v>531</v>
      </c>
      <c r="G222" t="s">
        <v>147</v>
      </c>
      <c r="H222" t="s">
        <v>148</v>
      </c>
      <c r="I222" t="s">
        <v>93</v>
      </c>
      <c r="J222" t="s">
        <v>54</v>
      </c>
      <c r="K222" t="s">
        <v>108</v>
      </c>
      <c r="L222">
        <v>735.18</v>
      </c>
      <c r="M222" t="s">
        <v>45</v>
      </c>
      <c r="N222" t="s">
        <v>116</v>
      </c>
      <c r="O222" t="s">
        <v>57</v>
      </c>
      <c r="P222" t="s">
        <v>137</v>
      </c>
      <c r="Q222">
        <v>0</v>
      </c>
      <c r="R222">
        <v>800</v>
      </c>
      <c r="S222">
        <v>0</v>
      </c>
      <c r="T222">
        <v>0</v>
      </c>
      <c r="U222">
        <v>0</v>
      </c>
      <c r="V222" t="s">
        <v>48</v>
      </c>
      <c r="W222">
        <v>0</v>
      </c>
      <c r="X222">
        <v>0</v>
      </c>
      <c r="Y222" t="s">
        <v>49</v>
      </c>
      <c r="Z222" t="s">
        <v>49</v>
      </c>
    </row>
    <row r="223" spans="1:26" x14ac:dyDescent="0.35">
      <c r="A223" t="s">
        <v>439</v>
      </c>
      <c r="B223" s="2">
        <v>45793</v>
      </c>
      <c r="C223">
        <v>2025</v>
      </c>
      <c r="D223">
        <v>5</v>
      </c>
      <c r="E223" t="s">
        <v>113</v>
      </c>
      <c r="F223" t="s">
        <v>538</v>
      </c>
      <c r="G223" t="s">
        <v>118</v>
      </c>
      <c r="H223" t="s">
        <v>119</v>
      </c>
      <c r="I223" t="s">
        <v>42</v>
      </c>
      <c r="J223" t="s">
        <v>54</v>
      </c>
      <c r="K223" t="s">
        <v>81</v>
      </c>
      <c r="L223">
        <v>60.89</v>
      </c>
      <c r="M223" t="s">
        <v>45</v>
      </c>
      <c r="N223" t="s">
        <v>46</v>
      </c>
      <c r="O223" t="s">
        <v>47</v>
      </c>
      <c r="P223" t="s">
        <v>111</v>
      </c>
      <c r="Q223">
        <v>0</v>
      </c>
      <c r="R223">
        <v>75</v>
      </c>
      <c r="S223">
        <v>0</v>
      </c>
      <c r="T223">
        <v>0</v>
      </c>
      <c r="U223">
        <v>0</v>
      </c>
      <c r="V223" t="s">
        <v>48</v>
      </c>
      <c r="W223">
        <v>0</v>
      </c>
      <c r="X223">
        <v>0</v>
      </c>
      <c r="Y223" t="s">
        <v>49</v>
      </c>
      <c r="Z223" t="s">
        <v>49</v>
      </c>
    </row>
    <row r="224" spans="1:26" x14ac:dyDescent="0.35">
      <c r="A224" t="s">
        <v>440</v>
      </c>
      <c r="B224" s="2">
        <v>45730</v>
      </c>
      <c r="C224">
        <v>2025</v>
      </c>
      <c r="D224">
        <v>3</v>
      </c>
      <c r="E224" t="s">
        <v>135</v>
      </c>
      <c r="F224" t="s">
        <v>541</v>
      </c>
      <c r="G224" t="s">
        <v>61</v>
      </c>
      <c r="H224" t="s">
        <v>62</v>
      </c>
      <c r="I224" t="s">
        <v>63</v>
      </c>
      <c r="J224" t="s">
        <v>54</v>
      </c>
      <c r="K224" t="s">
        <v>55</v>
      </c>
      <c r="L224">
        <v>225.19</v>
      </c>
      <c r="M224" t="s">
        <v>45</v>
      </c>
      <c r="N224" t="s">
        <v>304</v>
      </c>
      <c r="O224" t="s">
        <v>110</v>
      </c>
      <c r="P224" t="s">
        <v>137</v>
      </c>
      <c r="Q224">
        <v>0</v>
      </c>
      <c r="R224">
        <v>300</v>
      </c>
      <c r="S224">
        <v>0</v>
      </c>
      <c r="T224">
        <v>0</v>
      </c>
      <c r="U224">
        <v>0</v>
      </c>
      <c r="V224" t="s">
        <v>48</v>
      </c>
      <c r="W224">
        <v>0</v>
      </c>
      <c r="X224">
        <v>0</v>
      </c>
      <c r="Y224" t="s">
        <v>49</v>
      </c>
      <c r="Z224" t="s">
        <v>49</v>
      </c>
    </row>
    <row r="225" spans="1:26" x14ac:dyDescent="0.35">
      <c r="A225" t="s">
        <v>441</v>
      </c>
      <c r="B225" s="2">
        <v>45679</v>
      </c>
      <c r="C225">
        <v>2025</v>
      </c>
      <c r="D225">
        <v>1</v>
      </c>
      <c r="E225" t="s">
        <v>169</v>
      </c>
      <c r="F225" t="s">
        <v>542</v>
      </c>
      <c r="G225" t="s">
        <v>141</v>
      </c>
      <c r="H225" t="s">
        <v>142</v>
      </c>
      <c r="I225" t="s">
        <v>71</v>
      </c>
      <c r="J225" t="s">
        <v>58</v>
      </c>
      <c r="K225" t="s">
        <v>108</v>
      </c>
      <c r="L225">
        <v>580.77</v>
      </c>
      <c r="M225" t="s">
        <v>45</v>
      </c>
      <c r="N225" t="s">
        <v>144</v>
      </c>
      <c r="O225" t="s">
        <v>66</v>
      </c>
      <c r="P225" t="s">
        <v>43</v>
      </c>
      <c r="Q225">
        <v>0</v>
      </c>
      <c r="R225">
        <v>800</v>
      </c>
      <c r="S225">
        <v>0</v>
      </c>
      <c r="T225">
        <v>0</v>
      </c>
      <c r="U225">
        <v>0</v>
      </c>
      <c r="V225" t="s">
        <v>48</v>
      </c>
      <c r="W225">
        <v>0</v>
      </c>
      <c r="X225">
        <v>0</v>
      </c>
      <c r="Y225" t="s">
        <v>49</v>
      </c>
      <c r="Z225" t="s">
        <v>49</v>
      </c>
    </row>
    <row r="226" spans="1:26" x14ac:dyDescent="0.35">
      <c r="A226" t="s">
        <v>442</v>
      </c>
      <c r="B226" s="2">
        <v>46009</v>
      </c>
      <c r="C226">
        <v>2025</v>
      </c>
      <c r="D226">
        <v>12</v>
      </c>
      <c r="E226" t="s">
        <v>103</v>
      </c>
      <c r="F226" t="s">
        <v>537</v>
      </c>
      <c r="G226" t="s">
        <v>127</v>
      </c>
      <c r="H226" t="s">
        <v>128</v>
      </c>
      <c r="I226" t="s">
        <v>63</v>
      </c>
      <c r="J226" t="s">
        <v>54</v>
      </c>
      <c r="K226" t="s">
        <v>44</v>
      </c>
      <c r="L226">
        <v>120.81</v>
      </c>
      <c r="M226" t="s">
        <v>45</v>
      </c>
      <c r="N226" t="s">
        <v>46</v>
      </c>
      <c r="O226" t="s">
        <v>47</v>
      </c>
      <c r="P226" t="s">
        <v>111</v>
      </c>
      <c r="Q226">
        <v>0</v>
      </c>
      <c r="R226">
        <v>150</v>
      </c>
      <c r="S226">
        <v>0</v>
      </c>
      <c r="T226">
        <v>1</v>
      </c>
      <c r="U226">
        <v>120.81</v>
      </c>
      <c r="V226" t="s">
        <v>33</v>
      </c>
      <c r="W226">
        <v>0</v>
      </c>
      <c r="X226">
        <v>0</v>
      </c>
      <c r="Y226" t="s">
        <v>67</v>
      </c>
      <c r="Z226" t="s">
        <v>33</v>
      </c>
    </row>
    <row r="227" spans="1:26" x14ac:dyDescent="0.35">
      <c r="A227" t="s">
        <v>443</v>
      </c>
      <c r="B227" s="2">
        <v>45936</v>
      </c>
      <c r="C227">
        <v>2025</v>
      </c>
      <c r="D227">
        <v>10</v>
      </c>
      <c r="E227" t="s">
        <v>39</v>
      </c>
      <c r="F227" t="s">
        <v>531</v>
      </c>
      <c r="G227" t="s">
        <v>419</v>
      </c>
      <c r="H227" t="s">
        <v>420</v>
      </c>
      <c r="I227" t="s">
        <v>93</v>
      </c>
      <c r="J227" t="s">
        <v>54</v>
      </c>
      <c r="K227" t="s">
        <v>108</v>
      </c>
      <c r="L227">
        <v>936.27</v>
      </c>
      <c r="M227" t="s">
        <v>45</v>
      </c>
      <c r="N227" t="s">
        <v>46</v>
      </c>
      <c r="O227" t="s">
        <v>47</v>
      </c>
      <c r="P227" t="s">
        <v>43</v>
      </c>
      <c r="Q227">
        <v>1</v>
      </c>
      <c r="R227">
        <v>800</v>
      </c>
      <c r="S227">
        <v>136.27000000000001</v>
      </c>
      <c r="T227">
        <v>0</v>
      </c>
      <c r="U227">
        <v>0</v>
      </c>
      <c r="V227" t="s">
        <v>48</v>
      </c>
      <c r="W227">
        <v>0</v>
      </c>
      <c r="X227">
        <v>0</v>
      </c>
      <c r="Y227" t="s">
        <v>67</v>
      </c>
      <c r="Z227" t="s">
        <v>32</v>
      </c>
    </row>
    <row r="228" spans="1:26" x14ac:dyDescent="0.35">
      <c r="A228" t="s">
        <v>444</v>
      </c>
      <c r="B228" s="2">
        <v>46001</v>
      </c>
      <c r="C228">
        <v>2025</v>
      </c>
      <c r="D228">
        <v>12</v>
      </c>
      <c r="E228" t="s">
        <v>103</v>
      </c>
      <c r="F228" t="s">
        <v>537</v>
      </c>
      <c r="G228" t="s">
        <v>61</v>
      </c>
      <c r="H228" t="s">
        <v>62</v>
      </c>
      <c r="I228" t="s">
        <v>63</v>
      </c>
      <c r="J228" t="s">
        <v>54</v>
      </c>
      <c r="K228" t="s">
        <v>72</v>
      </c>
      <c r="L228">
        <v>60.8</v>
      </c>
      <c r="M228" t="s">
        <v>45</v>
      </c>
      <c r="N228" t="s">
        <v>74</v>
      </c>
      <c r="O228" t="s">
        <v>66</v>
      </c>
      <c r="P228" t="s">
        <v>43</v>
      </c>
      <c r="Q228">
        <v>0</v>
      </c>
      <c r="R228">
        <v>75</v>
      </c>
      <c r="S228">
        <v>0</v>
      </c>
      <c r="T228">
        <v>0</v>
      </c>
      <c r="U228">
        <v>0</v>
      </c>
      <c r="V228" t="s">
        <v>48</v>
      </c>
      <c r="W228">
        <v>0</v>
      </c>
      <c r="X228">
        <v>0</v>
      </c>
      <c r="Y228" t="s">
        <v>49</v>
      </c>
      <c r="Z228" t="s">
        <v>49</v>
      </c>
    </row>
    <row r="229" spans="1:26" x14ac:dyDescent="0.35">
      <c r="A229" t="s">
        <v>445</v>
      </c>
      <c r="B229" s="2">
        <v>45806</v>
      </c>
      <c r="C229">
        <v>2025</v>
      </c>
      <c r="D229">
        <v>5</v>
      </c>
      <c r="E229" t="s">
        <v>113</v>
      </c>
      <c r="F229" t="s">
        <v>538</v>
      </c>
      <c r="G229" t="s">
        <v>395</v>
      </c>
      <c r="H229" t="s">
        <v>396</v>
      </c>
      <c r="I229" t="s">
        <v>93</v>
      </c>
      <c r="J229" t="s">
        <v>54</v>
      </c>
      <c r="K229" t="s">
        <v>55</v>
      </c>
      <c r="L229">
        <v>189.71</v>
      </c>
      <c r="M229" t="s">
        <v>73</v>
      </c>
      <c r="N229" t="s">
        <v>175</v>
      </c>
      <c r="O229" t="s">
        <v>57</v>
      </c>
      <c r="P229" t="s">
        <v>137</v>
      </c>
      <c r="Q229">
        <v>0</v>
      </c>
      <c r="R229">
        <v>300</v>
      </c>
      <c r="S229">
        <v>0</v>
      </c>
      <c r="T229">
        <v>1</v>
      </c>
      <c r="U229">
        <v>189.71</v>
      </c>
      <c r="V229" t="s">
        <v>33</v>
      </c>
      <c r="W229">
        <v>1</v>
      </c>
      <c r="X229">
        <v>189.71</v>
      </c>
      <c r="Y229" t="s">
        <v>67</v>
      </c>
      <c r="Z229" t="s">
        <v>101</v>
      </c>
    </row>
    <row r="230" spans="1:26" x14ac:dyDescent="0.35">
      <c r="A230" t="s">
        <v>446</v>
      </c>
      <c r="B230" s="2">
        <v>45861</v>
      </c>
      <c r="C230">
        <v>2025</v>
      </c>
      <c r="D230">
        <v>7</v>
      </c>
      <c r="E230" t="s">
        <v>60</v>
      </c>
      <c r="F230" t="s">
        <v>533</v>
      </c>
      <c r="G230" t="s">
        <v>97</v>
      </c>
      <c r="H230" t="s">
        <v>98</v>
      </c>
      <c r="I230" t="s">
        <v>93</v>
      </c>
      <c r="J230" t="s">
        <v>54</v>
      </c>
      <c r="K230" t="s">
        <v>108</v>
      </c>
      <c r="L230">
        <v>1155.77</v>
      </c>
      <c r="M230" t="s">
        <v>45</v>
      </c>
      <c r="N230" t="s">
        <v>109</v>
      </c>
      <c r="O230" t="s">
        <v>110</v>
      </c>
      <c r="P230" t="s">
        <v>94</v>
      </c>
      <c r="Q230">
        <v>1</v>
      </c>
      <c r="R230">
        <v>800</v>
      </c>
      <c r="S230">
        <v>355.77</v>
      </c>
      <c r="T230">
        <v>1</v>
      </c>
      <c r="U230">
        <v>1155.77</v>
      </c>
      <c r="V230" t="s">
        <v>33</v>
      </c>
      <c r="W230">
        <v>0</v>
      </c>
      <c r="X230">
        <v>0</v>
      </c>
      <c r="Y230" t="s">
        <v>67</v>
      </c>
      <c r="Z230" t="s">
        <v>300</v>
      </c>
    </row>
    <row r="231" spans="1:26" x14ac:dyDescent="0.35">
      <c r="A231" t="s">
        <v>447</v>
      </c>
      <c r="B231" s="2">
        <v>45967</v>
      </c>
      <c r="C231">
        <v>2025</v>
      </c>
      <c r="D231">
        <v>11</v>
      </c>
      <c r="E231" t="s">
        <v>132</v>
      </c>
      <c r="F231" t="s">
        <v>540</v>
      </c>
      <c r="G231" t="s">
        <v>114</v>
      </c>
      <c r="H231" t="s">
        <v>115</v>
      </c>
      <c r="I231" t="s">
        <v>42</v>
      </c>
      <c r="J231" t="s">
        <v>54</v>
      </c>
      <c r="K231" t="s">
        <v>87</v>
      </c>
      <c r="L231">
        <v>43.45</v>
      </c>
      <c r="M231" t="s">
        <v>45</v>
      </c>
      <c r="N231" t="s">
        <v>122</v>
      </c>
      <c r="O231" t="s">
        <v>100</v>
      </c>
      <c r="P231" t="s">
        <v>94</v>
      </c>
      <c r="Q231">
        <v>0</v>
      </c>
      <c r="R231">
        <v>50</v>
      </c>
      <c r="S231">
        <v>0</v>
      </c>
      <c r="T231">
        <v>0</v>
      </c>
      <c r="U231">
        <v>0</v>
      </c>
      <c r="V231" t="s">
        <v>48</v>
      </c>
      <c r="W231">
        <v>0</v>
      </c>
      <c r="X231">
        <v>0</v>
      </c>
      <c r="Y231" t="s">
        <v>49</v>
      </c>
      <c r="Z231" t="s">
        <v>49</v>
      </c>
    </row>
    <row r="232" spans="1:26" x14ac:dyDescent="0.35">
      <c r="A232" t="s">
        <v>448</v>
      </c>
      <c r="B232" s="2">
        <v>45821</v>
      </c>
      <c r="C232">
        <v>2025</v>
      </c>
      <c r="D232">
        <v>6</v>
      </c>
      <c r="E232" t="s">
        <v>83</v>
      </c>
      <c r="F232" t="s">
        <v>535</v>
      </c>
      <c r="G232" t="s">
        <v>147</v>
      </c>
      <c r="H232" t="s">
        <v>148</v>
      </c>
      <c r="I232" t="s">
        <v>93</v>
      </c>
      <c r="J232" t="s">
        <v>54</v>
      </c>
      <c r="K232" t="s">
        <v>87</v>
      </c>
      <c r="L232">
        <v>21.25</v>
      </c>
      <c r="M232" t="s">
        <v>45</v>
      </c>
      <c r="N232" t="s">
        <v>46</v>
      </c>
      <c r="O232" t="s">
        <v>47</v>
      </c>
      <c r="P232" t="s">
        <v>58</v>
      </c>
      <c r="Q232">
        <v>0</v>
      </c>
      <c r="R232">
        <v>50</v>
      </c>
      <c r="S232">
        <v>0</v>
      </c>
      <c r="T232">
        <v>0</v>
      </c>
      <c r="U232">
        <v>0</v>
      </c>
      <c r="V232" t="s">
        <v>48</v>
      </c>
      <c r="W232">
        <v>0</v>
      </c>
      <c r="X232">
        <v>0</v>
      </c>
      <c r="Y232" t="s">
        <v>49</v>
      </c>
      <c r="Z232" t="s">
        <v>49</v>
      </c>
    </row>
    <row r="233" spans="1:26" x14ac:dyDescent="0.35">
      <c r="A233" t="s">
        <v>449</v>
      </c>
      <c r="B233" s="2">
        <v>45938</v>
      </c>
      <c r="C233">
        <v>2025</v>
      </c>
      <c r="D233">
        <v>10</v>
      </c>
      <c r="E233" t="s">
        <v>39</v>
      </c>
      <c r="F233" t="s">
        <v>531</v>
      </c>
      <c r="G233" t="s">
        <v>84</v>
      </c>
      <c r="H233" t="s">
        <v>85</v>
      </c>
      <c r="I233" t="s">
        <v>86</v>
      </c>
      <c r="J233" t="s">
        <v>58</v>
      </c>
      <c r="K233" t="s">
        <v>108</v>
      </c>
      <c r="L233">
        <v>858.47</v>
      </c>
      <c r="M233" t="s">
        <v>73</v>
      </c>
      <c r="N233" t="s">
        <v>144</v>
      </c>
      <c r="O233" t="s">
        <v>66</v>
      </c>
      <c r="P233" t="s">
        <v>239</v>
      </c>
      <c r="Q233">
        <v>1</v>
      </c>
      <c r="R233">
        <v>800</v>
      </c>
      <c r="S233">
        <v>58.47</v>
      </c>
      <c r="T233">
        <v>0</v>
      </c>
      <c r="U233">
        <v>0</v>
      </c>
      <c r="V233" t="s">
        <v>48</v>
      </c>
      <c r="W233">
        <v>1</v>
      </c>
      <c r="X233">
        <v>858.47</v>
      </c>
      <c r="Y233" t="s">
        <v>67</v>
      </c>
      <c r="Z233" t="s">
        <v>220</v>
      </c>
    </row>
    <row r="234" spans="1:26" x14ac:dyDescent="0.35">
      <c r="A234" t="s">
        <v>450</v>
      </c>
      <c r="B234" s="2">
        <v>45706</v>
      </c>
      <c r="C234">
        <v>2025</v>
      </c>
      <c r="D234">
        <v>2</v>
      </c>
      <c r="E234" t="s">
        <v>51</v>
      </c>
      <c r="F234" t="s">
        <v>532</v>
      </c>
      <c r="G234" t="s">
        <v>61</v>
      </c>
      <c r="H234" t="s">
        <v>62</v>
      </c>
      <c r="I234" t="s">
        <v>63</v>
      </c>
      <c r="J234" t="s">
        <v>54</v>
      </c>
      <c r="K234" t="s">
        <v>55</v>
      </c>
      <c r="L234">
        <v>141.91</v>
      </c>
      <c r="M234" t="s">
        <v>73</v>
      </c>
      <c r="N234" t="s">
        <v>46</v>
      </c>
      <c r="O234" t="s">
        <v>47</v>
      </c>
      <c r="P234" t="s">
        <v>137</v>
      </c>
      <c r="Q234">
        <v>0</v>
      </c>
      <c r="R234">
        <v>300</v>
      </c>
      <c r="S234">
        <v>0</v>
      </c>
      <c r="T234">
        <v>0</v>
      </c>
      <c r="U234">
        <v>0</v>
      </c>
      <c r="V234" t="s">
        <v>48</v>
      </c>
      <c r="W234">
        <v>1</v>
      </c>
      <c r="X234">
        <v>141.91</v>
      </c>
      <c r="Y234" t="s">
        <v>67</v>
      </c>
      <c r="Z234" t="s">
        <v>73</v>
      </c>
    </row>
    <row r="235" spans="1:26" x14ac:dyDescent="0.35">
      <c r="A235" t="s">
        <v>451</v>
      </c>
      <c r="B235" s="2">
        <v>45881</v>
      </c>
      <c r="C235">
        <v>2025</v>
      </c>
      <c r="D235">
        <v>8</v>
      </c>
      <c r="E235" t="s">
        <v>96</v>
      </c>
      <c r="F235" t="s">
        <v>536</v>
      </c>
      <c r="G235" t="s">
        <v>452</v>
      </c>
      <c r="H235" t="s">
        <v>453</v>
      </c>
      <c r="I235" t="s">
        <v>86</v>
      </c>
      <c r="J235" t="s">
        <v>43</v>
      </c>
      <c r="K235" t="s">
        <v>87</v>
      </c>
      <c r="L235">
        <v>58.14</v>
      </c>
      <c r="M235" t="s">
        <v>45</v>
      </c>
      <c r="N235" t="s">
        <v>122</v>
      </c>
      <c r="O235" t="s">
        <v>100</v>
      </c>
      <c r="P235" t="s">
        <v>137</v>
      </c>
      <c r="Q235">
        <v>1</v>
      </c>
      <c r="R235">
        <v>50</v>
      </c>
      <c r="S235">
        <v>8.14</v>
      </c>
      <c r="T235">
        <v>0</v>
      </c>
      <c r="U235">
        <v>0</v>
      </c>
      <c r="V235" t="s">
        <v>48</v>
      </c>
      <c r="W235">
        <v>0</v>
      </c>
      <c r="X235">
        <v>0</v>
      </c>
      <c r="Y235" t="s">
        <v>67</v>
      </c>
      <c r="Z235" t="s">
        <v>32</v>
      </c>
    </row>
    <row r="236" spans="1:26" x14ac:dyDescent="0.35">
      <c r="A236" t="s">
        <v>454</v>
      </c>
      <c r="B236" s="2">
        <v>45867</v>
      </c>
      <c r="C236">
        <v>2025</v>
      </c>
      <c r="D236">
        <v>7</v>
      </c>
      <c r="E236" t="s">
        <v>60</v>
      </c>
      <c r="F236" t="s">
        <v>533</v>
      </c>
      <c r="G236" t="s">
        <v>162</v>
      </c>
      <c r="H236" t="s">
        <v>163</v>
      </c>
      <c r="I236" t="s">
        <v>63</v>
      </c>
      <c r="J236" t="s">
        <v>58</v>
      </c>
      <c r="K236" t="s">
        <v>81</v>
      </c>
      <c r="L236">
        <v>26.19</v>
      </c>
      <c r="M236" t="s">
        <v>45</v>
      </c>
      <c r="N236" t="s">
        <v>226</v>
      </c>
      <c r="O236" t="s">
        <v>66</v>
      </c>
      <c r="P236" t="s">
        <v>89</v>
      </c>
      <c r="Q236">
        <v>0</v>
      </c>
      <c r="R236">
        <v>75</v>
      </c>
      <c r="S236">
        <v>0</v>
      </c>
      <c r="T236">
        <v>0</v>
      </c>
      <c r="U236">
        <v>0</v>
      </c>
      <c r="V236" t="s">
        <v>48</v>
      </c>
      <c r="W236">
        <v>0</v>
      </c>
      <c r="X236">
        <v>0</v>
      </c>
      <c r="Y236" t="s">
        <v>49</v>
      </c>
      <c r="Z236" t="s">
        <v>49</v>
      </c>
    </row>
    <row r="237" spans="1:26" x14ac:dyDescent="0.35">
      <c r="A237" t="s">
        <v>455</v>
      </c>
      <c r="B237" s="2">
        <v>45875</v>
      </c>
      <c r="C237">
        <v>2025</v>
      </c>
      <c r="D237">
        <v>8</v>
      </c>
      <c r="E237" t="s">
        <v>96</v>
      </c>
      <c r="F237" t="s">
        <v>536</v>
      </c>
      <c r="G237" t="s">
        <v>61</v>
      </c>
      <c r="H237" t="s">
        <v>62</v>
      </c>
      <c r="I237" t="s">
        <v>63</v>
      </c>
      <c r="J237" t="s">
        <v>54</v>
      </c>
      <c r="K237" t="s">
        <v>108</v>
      </c>
      <c r="L237">
        <v>722.61</v>
      </c>
      <c r="M237" t="s">
        <v>73</v>
      </c>
      <c r="N237" t="s">
        <v>46</v>
      </c>
      <c r="O237" t="s">
        <v>47</v>
      </c>
      <c r="P237" t="s">
        <v>75</v>
      </c>
      <c r="Q237">
        <v>0</v>
      </c>
      <c r="R237">
        <v>800</v>
      </c>
      <c r="S237">
        <v>0</v>
      </c>
      <c r="T237">
        <v>0</v>
      </c>
      <c r="U237">
        <v>0</v>
      </c>
      <c r="V237" t="s">
        <v>48</v>
      </c>
      <c r="W237">
        <v>1</v>
      </c>
      <c r="X237">
        <v>722.61</v>
      </c>
      <c r="Y237" t="s">
        <v>67</v>
      </c>
      <c r="Z237" t="s">
        <v>73</v>
      </c>
    </row>
    <row r="238" spans="1:26" x14ac:dyDescent="0.35">
      <c r="A238" t="s">
        <v>456</v>
      </c>
      <c r="B238" s="2">
        <v>45828</v>
      </c>
      <c r="C238">
        <v>2025</v>
      </c>
      <c r="D238">
        <v>6</v>
      </c>
      <c r="E238" t="s">
        <v>83</v>
      </c>
      <c r="F238" t="s">
        <v>535</v>
      </c>
      <c r="G238" t="s">
        <v>61</v>
      </c>
      <c r="H238" t="s">
        <v>62</v>
      </c>
      <c r="I238" t="s">
        <v>63</v>
      </c>
      <c r="J238" t="s">
        <v>54</v>
      </c>
      <c r="K238" t="s">
        <v>72</v>
      </c>
      <c r="L238">
        <v>85.72</v>
      </c>
      <c r="M238" t="s">
        <v>45</v>
      </c>
      <c r="N238" t="s">
        <v>203</v>
      </c>
      <c r="O238" t="s">
        <v>47</v>
      </c>
      <c r="P238" t="s">
        <v>111</v>
      </c>
      <c r="Q238">
        <v>1</v>
      </c>
      <c r="R238">
        <v>75</v>
      </c>
      <c r="S238">
        <v>10.72</v>
      </c>
      <c r="T238">
        <v>0</v>
      </c>
      <c r="U238">
        <v>0</v>
      </c>
      <c r="V238" t="s">
        <v>48</v>
      </c>
      <c r="W238">
        <v>0</v>
      </c>
      <c r="X238">
        <v>0</v>
      </c>
      <c r="Y238" t="s">
        <v>67</v>
      </c>
      <c r="Z238" t="s">
        <v>32</v>
      </c>
    </row>
    <row r="239" spans="1:26" x14ac:dyDescent="0.35">
      <c r="A239" t="s">
        <v>457</v>
      </c>
      <c r="B239" s="2">
        <v>45980</v>
      </c>
      <c r="C239">
        <v>2025</v>
      </c>
      <c r="D239">
        <v>11</v>
      </c>
      <c r="E239" t="s">
        <v>132</v>
      </c>
      <c r="F239" t="s">
        <v>540</v>
      </c>
      <c r="G239" t="s">
        <v>458</v>
      </c>
      <c r="H239" t="s">
        <v>459</v>
      </c>
      <c r="I239" t="s">
        <v>80</v>
      </c>
      <c r="J239" t="s">
        <v>54</v>
      </c>
      <c r="K239" t="s">
        <v>72</v>
      </c>
      <c r="L239">
        <v>45.57</v>
      </c>
      <c r="M239" t="s">
        <v>73</v>
      </c>
      <c r="N239" t="s">
        <v>144</v>
      </c>
      <c r="O239" t="s">
        <v>66</v>
      </c>
      <c r="P239" t="s">
        <v>111</v>
      </c>
      <c r="Q239">
        <v>0</v>
      </c>
      <c r="R239">
        <v>75</v>
      </c>
      <c r="S239">
        <v>0</v>
      </c>
      <c r="T239">
        <v>0</v>
      </c>
      <c r="U239">
        <v>0</v>
      </c>
      <c r="V239" t="s">
        <v>48</v>
      </c>
      <c r="W239">
        <v>1</v>
      </c>
      <c r="X239">
        <v>45.57</v>
      </c>
      <c r="Y239" t="s">
        <v>67</v>
      </c>
      <c r="Z239" t="s">
        <v>73</v>
      </c>
    </row>
    <row r="240" spans="1:26" x14ac:dyDescent="0.35">
      <c r="A240" t="s">
        <v>460</v>
      </c>
      <c r="B240" s="2">
        <v>45789</v>
      </c>
      <c r="C240">
        <v>2025</v>
      </c>
      <c r="D240">
        <v>5</v>
      </c>
      <c r="E240" t="s">
        <v>113</v>
      </c>
      <c r="F240" t="s">
        <v>538</v>
      </c>
      <c r="G240" t="s">
        <v>61</v>
      </c>
      <c r="H240" t="s">
        <v>62</v>
      </c>
      <c r="I240" t="s">
        <v>63</v>
      </c>
      <c r="J240" t="s">
        <v>54</v>
      </c>
      <c r="K240" t="s">
        <v>108</v>
      </c>
      <c r="L240">
        <v>620.41</v>
      </c>
      <c r="M240" t="s">
        <v>45</v>
      </c>
      <c r="N240" t="s">
        <v>216</v>
      </c>
      <c r="O240" t="s">
        <v>66</v>
      </c>
      <c r="P240" t="s">
        <v>43</v>
      </c>
      <c r="Q240">
        <v>0</v>
      </c>
      <c r="R240">
        <v>800</v>
      </c>
      <c r="S240">
        <v>0</v>
      </c>
      <c r="T240">
        <v>0</v>
      </c>
      <c r="U240">
        <v>0</v>
      </c>
      <c r="V240" t="s">
        <v>48</v>
      </c>
      <c r="W240">
        <v>0</v>
      </c>
      <c r="X240">
        <v>0</v>
      </c>
      <c r="Y240" t="s">
        <v>49</v>
      </c>
      <c r="Z240" t="s">
        <v>49</v>
      </c>
    </row>
    <row r="241" spans="1:26" x14ac:dyDescent="0.35">
      <c r="A241" t="s">
        <v>461</v>
      </c>
      <c r="B241" s="2">
        <v>45904</v>
      </c>
      <c r="C241">
        <v>2025</v>
      </c>
      <c r="D241">
        <v>9</v>
      </c>
      <c r="E241" t="s">
        <v>121</v>
      </c>
      <c r="F241" t="s">
        <v>539</v>
      </c>
      <c r="G241" t="s">
        <v>97</v>
      </c>
      <c r="H241" t="s">
        <v>98</v>
      </c>
      <c r="I241" t="s">
        <v>93</v>
      </c>
      <c r="J241" t="s">
        <v>54</v>
      </c>
      <c r="K241" t="s">
        <v>87</v>
      </c>
      <c r="L241">
        <v>59.77</v>
      </c>
      <c r="M241" t="s">
        <v>45</v>
      </c>
      <c r="N241" t="s">
        <v>122</v>
      </c>
      <c r="O241" t="s">
        <v>100</v>
      </c>
      <c r="P241" t="s">
        <v>43</v>
      </c>
      <c r="Q241">
        <v>1</v>
      </c>
      <c r="R241">
        <v>50</v>
      </c>
      <c r="S241">
        <v>9.77</v>
      </c>
      <c r="T241">
        <v>1</v>
      </c>
      <c r="U241">
        <v>59.77</v>
      </c>
      <c r="V241" t="s">
        <v>33</v>
      </c>
      <c r="W241">
        <v>0</v>
      </c>
      <c r="X241">
        <v>0</v>
      </c>
      <c r="Y241" t="s">
        <v>67</v>
      </c>
      <c r="Z241" t="s">
        <v>300</v>
      </c>
    </row>
    <row r="242" spans="1:26" x14ac:dyDescent="0.35">
      <c r="A242" t="s">
        <v>462</v>
      </c>
      <c r="B242" s="2">
        <v>45684</v>
      </c>
      <c r="C242">
        <v>2025</v>
      </c>
      <c r="D242">
        <v>1</v>
      </c>
      <c r="E242" t="s">
        <v>169</v>
      </c>
      <c r="F242" t="s">
        <v>542</v>
      </c>
      <c r="G242" t="s">
        <v>256</v>
      </c>
      <c r="H242" t="s">
        <v>257</v>
      </c>
      <c r="I242" t="s">
        <v>63</v>
      </c>
      <c r="J242" t="s">
        <v>58</v>
      </c>
      <c r="K242" t="s">
        <v>108</v>
      </c>
      <c r="L242">
        <v>679.39</v>
      </c>
      <c r="M242" t="s">
        <v>45</v>
      </c>
      <c r="N242" t="s">
        <v>144</v>
      </c>
      <c r="O242" t="s">
        <v>66</v>
      </c>
      <c r="P242" t="s">
        <v>43</v>
      </c>
      <c r="Q242">
        <v>0</v>
      </c>
      <c r="R242">
        <v>800</v>
      </c>
      <c r="S242">
        <v>0</v>
      </c>
      <c r="T242">
        <v>0</v>
      </c>
      <c r="U242">
        <v>0</v>
      </c>
      <c r="V242" t="s">
        <v>48</v>
      </c>
      <c r="W242">
        <v>0</v>
      </c>
      <c r="X242">
        <v>0</v>
      </c>
      <c r="Y242" t="s">
        <v>49</v>
      </c>
      <c r="Z242" t="s">
        <v>49</v>
      </c>
    </row>
    <row r="243" spans="1:26" x14ac:dyDescent="0.35">
      <c r="A243" t="s">
        <v>463</v>
      </c>
      <c r="B243" s="2">
        <v>45694</v>
      </c>
      <c r="C243">
        <v>2025</v>
      </c>
      <c r="D243">
        <v>2</v>
      </c>
      <c r="E243" t="s">
        <v>51</v>
      </c>
      <c r="F243" t="s">
        <v>532</v>
      </c>
      <c r="G243" t="s">
        <v>61</v>
      </c>
      <c r="H243" t="s">
        <v>62</v>
      </c>
      <c r="I243" t="s">
        <v>63</v>
      </c>
      <c r="J243" t="s">
        <v>54</v>
      </c>
      <c r="K243" t="s">
        <v>72</v>
      </c>
      <c r="L243">
        <v>44.83</v>
      </c>
      <c r="M243" t="s">
        <v>73</v>
      </c>
      <c r="N243" t="s">
        <v>182</v>
      </c>
      <c r="O243" t="s">
        <v>47</v>
      </c>
      <c r="P243" t="s">
        <v>111</v>
      </c>
      <c r="Q243">
        <v>0</v>
      </c>
      <c r="R243">
        <v>75</v>
      </c>
      <c r="S243">
        <v>0</v>
      </c>
      <c r="T243">
        <v>0</v>
      </c>
      <c r="U243">
        <v>0</v>
      </c>
      <c r="V243" t="s">
        <v>48</v>
      </c>
      <c r="W243">
        <v>1</v>
      </c>
      <c r="X243">
        <v>44.83</v>
      </c>
      <c r="Y243" t="s">
        <v>67</v>
      </c>
      <c r="Z243" t="s">
        <v>73</v>
      </c>
    </row>
    <row r="244" spans="1:26" x14ac:dyDescent="0.35">
      <c r="A244" t="s">
        <v>464</v>
      </c>
      <c r="B244" s="2">
        <v>45740</v>
      </c>
      <c r="C244">
        <v>2025</v>
      </c>
      <c r="D244">
        <v>3</v>
      </c>
      <c r="E244" t="s">
        <v>135</v>
      </c>
      <c r="F244" t="s">
        <v>541</v>
      </c>
      <c r="G244" t="s">
        <v>281</v>
      </c>
      <c r="H244" t="s">
        <v>282</v>
      </c>
      <c r="I244" t="s">
        <v>86</v>
      </c>
      <c r="J244" t="s">
        <v>54</v>
      </c>
      <c r="K244" t="s">
        <v>55</v>
      </c>
      <c r="L244">
        <v>352.57</v>
      </c>
      <c r="M244" t="s">
        <v>45</v>
      </c>
      <c r="N244" t="s">
        <v>136</v>
      </c>
      <c r="O244" t="s">
        <v>57</v>
      </c>
      <c r="P244" t="s">
        <v>75</v>
      </c>
      <c r="Q244">
        <v>1</v>
      </c>
      <c r="R244">
        <v>300</v>
      </c>
      <c r="S244">
        <v>52.57</v>
      </c>
      <c r="T244">
        <v>0</v>
      </c>
      <c r="U244">
        <v>0</v>
      </c>
      <c r="V244" t="s">
        <v>48</v>
      </c>
      <c r="W244">
        <v>0</v>
      </c>
      <c r="X244">
        <v>0</v>
      </c>
      <c r="Y244" t="s">
        <v>67</v>
      </c>
      <c r="Z244" t="s">
        <v>32</v>
      </c>
    </row>
    <row r="245" spans="1:26" x14ac:dyDescent="0.35">
      <c r="A245" t="s">
        <v>465</v>
      </c>
      <c r="B245" s="2">
        <v>45796</v>
      </c>
      <c r="C245">
        <v>2025</v>
      </c>
      <c r="D245">
        <v>5</v>
      </c>
      <c r="E245" t="s">
        <v>113</v>
      </c>
      <c r="F245" t="s">
        <v>538</v>
      </c>
      <c r="G245" t="s">
        <v>118</v>
      </c>
      <c r="H245" t="s">
        <v>119</v>
      </c>
      <c r="I245" t="s">
        <v>42</v>
      </c>
      <c r="J245" t="s">
        <v>54</v>
      </c>
      <c r="K245" t="s">
        <v>87</v>
      </c>
      <c r="L245">
        <v>53.73</v>
      </c>
      <c r="M245" t="s">
        <v>45</v>
      </c>
      <c r="N245" t="s">
        <v>122</v>
      </c>
      <c r="O245" t="s">
        <v>100</v>
      </c>
      <c r="P245" t="s">
        <v>43</v>
      </c>
      <c r="Q245">
        <v>1</v>
      </c>
      <c r="R245">
        <v>50</v>
      </c>
      <c r="S245">
        <v>3.73</v>
      </c>
      <c r="T245">
        <v>0</v>
      </c>
      <c r="U245">
        <v>0</v>
      </c>
      <c r="V245" t="s">
        <v>48</v>
      </c>
      <c r="W245">
        <v>0</v>
      </c>
      <c r="X245">
        <v>0</v>
      </c>
      <c r="Y245" t="s">
        <v>67</v>
      </c>
      <c r="Z245" t="s">
        <v>32</v>
      </c>
    </row>
    <row r="246" spans="1:26" x14ac:dyDescent="0.35">
      <c r="A246" t="s">
        <v>466</v>
      </c>
      <c r="B246" s="2">
        <v>46002</v>
      </c>
      <c r="C246">
        <v>2025</v>
      </c>
      <c r="D246">
        <v>12</v>
      </c>
      <c r="E246" t="s">
        <v>103</v>
      </c>
      <c r="F246" t="s">
        <v>537</v>
      </c>
      <c r="G246" t="s">
        <v>118</v>
      </c>
      <c r="H246" t="s">
        <v>119</v>
      </c>
      <c r="I246" t="s">
        <v>42</v>
      </c>
      <c r="J246" t="s">
        <v>54</v>
      </c>
      <c r="K246" t="s">
        <v>87</v>
      </c>
      <c r="L246">
        <v>60.17</v>
      </c>
      <c r="M246" t="s">
        <v>45</v>
      </c>
      <c r="N246" t="s">
        <v>254</v>
      </c>
      <c r="O246" t="s">
        <v>105</v>
      </c>
      <c r="P246" t="s">
        <v>106</v>
      </c>
      <c r="Q246">
        <v>1</v>
      </c>
      <c r="R246">
        <v>50</v>
      </c>
      <c r="S246">
        <v>10.17</v>
      </c>
      <c r="T246">
        <v>0</v>
      </c>
      <c r="U246">
        <v>0</v>
      </c>
      <c r="V246" t="s">
        <v>48</v>
      </c>
      <c r="W246">
        <v>0</v>
      </c>
      <c r="X246">
        <v>0</v>
      </c>
      <c r="Y246" t="s">
        <v>67</v>
      </c>
      <c r="Z246" t="s">
        <v>32</v>
      </c>
    </row>
    <row r="247" spans="1:26" x14ac:dyDescent="0.35">
      <c r="A247" t="s">
        <v>467</v>
      </c>
      <c r="B247" s="2">
        <v>45908</v>
      </c>
      <c r="C247">
        <v>2025</v>
      </c>
      <c r="D247">
        <v>9</v>
      </c>
      <c r="E247" t="s">
        <v>121</v>
      </c>
      <c r="F247" t="s">
        <v>539</v>
      </c>
      <c r="G247" t="s">
        <v>141</v>
      </c>
      <c r="H247" t="s">
        <v>142</v>
      </c>
      <c r="I247" t="s">
        <v>71</v>
      </c>
      <c r="J247" t="s">
        <v>58</v>
      </c>
      <c r="K247" t="s">
        <v>55</v>
      </c>
      <c r="L247">
        <v>195.44</v>
      </c>
      <c r="M247" t="s">
        <v>73</v>
      </c>
      <c r="N247" t="s">
        <v>109</v>
      </c>
      <c r="O247" t="s">
        <v>110</v>
      </c>
      <c r="P247" t="s">
        <v>89</v>
      </c>
      <c r="Q247">
        <v>0</v>
      </c>
      <c r="R247">
        <v>300</v>
      </c>
      <c r="S247">
        <v>0</v>
      </c>
      <c r="T247">
        <v>0</v>
      </c>
      <c r="U247">
        <v>0</v>
      </c>
      <c r="V247" t="s">
        <v>48</v>
      </c>
      <c r="W247">
        <v>1</v>
      </c>
      <c r="X247">
        <v>195.44</v>
      </c>
      <c r="Y247" t="s">
        <v>67</v>
      </c>
      <c r="Z247" t="s">
        <v>73</v>
      </c>
    </row>
    <row r="248" spans="1:26" x14ac:dyDescent="0.35">
      <c r="A248" t="s">
        <v>468</v>
      </c>
      <c r="B248" s="2">
        <v>45966</v>
      </c>
      <c r="C248">
        <v>2025</v>
      </c>
      <c r="D248">
        <v>11</v>
      </c>
      <c r="E248" t="s">
        <v>132</v>
      </c>
      <c r="F248" t="s">
        <v>540</v>
      </c>
      <c r="G248" t="s">
        <v>84</v>
      </c>
      <c r="H248" t="s">
        <v>85</v>
      </c>
      <c r="I248" t="s">
        <v>86</v>
      </c>
      <c r="J248" t="s">
        <v>58</v>
      </c>
      <c r="K248" t="s">
        <v>81</v>
      </c>
      <c r="L248">
        <v>47.04</v>
      </c>
      <c r="M248" t="s">
        <v>45</v>
      </c>
      <c r="N248" t="s">
        <v>226</v>
      </c>
      <c r="O248" t="s">
        <v>66</v>
      </c>
      <c r="P248" t="s">
        <v>156</v>
      </c>
      <c r="Q248">
        <v>0</v>
      </c>
      <c r="R248">
        <v>75</v>
      </c>
      <c r="S248">
        <v>0</v>
      </c>
      <c r="T248">
        <v>0</v>
      </c>
      <c r="U248">
        <v>0</v>
      </c>
      <c r="V248" t="s">
        <v>48</v>
      </c>
      <c r="W248">
        <v>0</v>
      </c>
      <c r="X248">
        <v>0</v>
      </c>
      <c r="Y248" t="s">
        <v>49</v>
      </c>
      <c r="Z248" t="s">
        <v>49</v>
      </c>
    </row>
    <row r="249" spans="1:26" x14ac:dyDescent="0.35">
      <c r="A249" t="s">
        <v>469</v>
      </c>
      <c r="B249" s="2">
        <v>45667</v>
      </c>
      <c r="C249">
        <v>2025</v>
      </c>
      <c r="D249">
        <v>1</v>
      </c>
      <c r="E249" t="s">
        <v>169</v>
      </c>
      <c r="F249" t="s">
        <v>542</v>
      </c>
      <c r="G249" t="s">
        <v>195</v>
      </c>
      <c r="H249" t="s">
        <v>196</v>
      </c>
      <c r="I249" t="s">
        <v>71</v>
      </c>
      <c r="J249" t="s">
        <v>54</v>
      </c>
      <c r="K249" t="s">
        <v>87</v>
      </c>
      <c r="L249">
        <v>32.450000000000003</v>
      </c>
      <c r="M249" t="s">
        <v>45</v>
      </c>
      <c r="N249" t="s">
        <v>88</v>
      </c>
      <c r="O249" t="s">
        <v>66</v>
      </c>
      <c r="P249" t="s">
        <v>106</v>
      </c>
      <c r="Q249">
        <v>0</v>
      </c>
      <c r="R249">
        <v>50</v>
      </c>
      <c r="S249">
        <v>0</v>
      </c>
      <c r="T249">
        <v>1</v>
      </c>
      <c r="U249">
        <v>32.450000000000003</v>
      </c>
      <c r="V249" t="s">
        <v>33</v>
      </c>
      <c r="W249">
        <v>0</v>
      </c>
      <c r="X249">
        <v>0</v>
      </c>
      <c r="Y249" t="s">
        <v>67</v>
      </c>
      <c r="Z249" t="s">
        <v>33</v>
      </c>
    </row>
    <row r="250" spans="1:26" x14ac:dyDescent="0.35">
      <c r="A250" t="s">
        <v>470</v>
      </c>
      <c r="B250" s="2">
        <v>45743</v>
      </c>
      <c r="C250">
        <v>2025</v>
      </c>
      <c r="D250">
        <v>3</v>
      </c>
      <c r="E250" t="s">
        <v>135</v>
      </c>
      <c r="F250" t="s">
        <v>541</v>
      </c>
      <c r="G250" t="s">
        <v>162</v>
      </c>
      <c r="H250" t="s">
        <v>163</v>
      </c>
      <c r="I250" t="s">
        <v>63</v>
      </c>
      <c r="J250" t="s">
        <v>58</v>
      </c>
      <c r="K250" t="s">
        <v>64</v>
      </c>
      <c r="L250">
        <v>13.93</v>
      </c>
      <c r="M250" t="s">
        <v>45</v>
      </c>
      <c r="N250" t="s">
        <v>65</v>
      </c>
      <c r="O250" t="s">
        <v>66</v>
      </c>
      <c r="P250" t="s">
        <v>156</v>
      </c>
      <c r="Q250">
        <v>0</v>
      </c>
      <c r="R250">
        <v>30</v>
      </c>
      <c r="S250">
        <v>0</v>
      </c>
      <c r="T250">
        <v>0</v>
      </c>
      <c r="U250">
        <v>0</v>
      </c>
      <c r="V250" t="s">
        <v>48</v>
      </c>
      <c r="W250">
        <v>0</v>
      </c>
      <c r="X250">
        <v>0</v>
      </c>
      <c r="Y250" t="s">
        <v>49</v>
      </c>
      <c r="Z250" t="s">
        <v>49</v>
      </c>
    </row>
    <row r="251" spans="1:26" x14ac:dyDescent="0.35">
      <c r="A251" t="s">
        <v>471</v>
      </c>
      <c r="B251" s="2">
        <v>45840</v>
      </c>
      <c r="C251">
        <v>2025</v>
      </c>
      <c r="D251">
        <v>7</v>
      </c>
      <c r="E251" t="s">
        <v>60</v>
      </c>
      <c r="F251" t="s">
        <v>533</v>
      </c>
      <c r="G251" t="s">
        <v>84</v>
      </c>
      <c r="H251" t="s">
        <v>85</v>
      </c>
      <c r="I251" t="s">
        <v>86</v>
      </c>
      <c r="J251" t="s">
        <v>58</v>
      </c>
      <c r="K251" t="s">
        <v>108</v>
      </c>
      <c r="L251">
        <v>878.29</v>
      </c>
      <c r="M251" t="s">
        <v>73</v>
      </c>
      <c r="N251" t="s">
        <v>144</v>
      </c>
      <c r="O251" t="s">
        <v>66</v>
      </c>
      <c r="P251" t="s">
        <v>43</v>
      </c>
      <c r="Q251">
        <v>1</v>
      </c>
      <c r="R251">
        <v>800</v>
      </c>
      <c r="S251">
        <v>78.290000000000006</v>
      </c>
      <c r="T251">
        <v>0</v>
      </c>
      <c r="U251">
        <v>0</v>
      </c>
      <c r="V251" t="s">
        <v>48</v>
      </c>
      <c r="W251">
        <v>1</v>
      </c>
      <c r="X251">
        <v>878.29</v>
      </c>
      <c r="Y251" t="s">
        <v>67</v>
      </c>
      <c r="Z251" t="s">
        <v>220</v>
      </c>
    </row>
    <row r="252" spans="1:26" x14ac:dyDescent="0.35">
      <c r="A252" t="s">
        <v>472</v>
      </c>
      <c r="B252" s="2">
        <v>45874</v>
      </c>
      <c r="C252">
        <v>2025</v>
      </c>
      <c r="D252">
        <v>8</v>
      </c>
      <c r="E252" t="s">
        <v>96</v>
      </c>
      <c r="F252" t="s">
        <v>536</v>
      </c>
      <c r="G252" t="s">
        <v>173</v>
      </c>
      <c r="H252" t="s">
        <v>174</v>
      </c>
      <c r="I252" t="s">
        <v>93</v>
      </c>
      <c r="J252" t="s">
        <v>43</v>
      </c>
      <c r="K252" t="s">
        <v>87</v>
      </c>
      <c r="L252">
        <v>35.93</v>
      </c>
      <c r="M252" t="s">
        <v>45</v>
      </c>
      <c r="N252" t="s">
        <v>231</v>
      </c>
      <c r="O252" t="s">
        <v>57</v>
      </c>
      <c r="P252" t="s">
        <v>145</v>
      </c>
      <c r="Q252">
        <v>0</v>
      </c>
      <c r="R252">
        <v>50</v>
      </c>
      <c r="S252">
        <v>0</v>
      </c>
      <c r="T252">
        <v>0</v>
      </c>
      <c r="U252">
        <v>0</v>
      </c>
      <c r="V252" t="s">
        <v>48</v>
      </c>
      <c r="W252">
        <v>0</v>
      </c>
      <c r="X252">
        <v>0</v>
      </c>
      <c r="Y252" t="s">
        <v>49</v>
      </c>
      <c r="Z252" t="s">
        <v>49</v>
      </c>
    </row>
    <row r="253" spans="1:26" x14ac:dyDescent="0.35">
      <c r="A253" t="s">
        <v>473</v>
      </c>
      <c r="B253" s="2">
        <v>45687</v>
      </c>
      <c r="C253">
        <v>2025</v>
      </c>
      <c r="D253">
        <v>1</v>
      </c>
      <c r="E253" t="s">
        <v>169</v>
      </c>
      <c r="F253" t="s">
        <v>542</v>
      </c>
      <c r="G253" t="s">
        <v>162</v>
      </c>
      <c r="H253" t="s">
        <v>163</v>
      </c>
      <c r="I253" t="s">
        <v>63</v>
      </c>
      <c r="J253" t="s">
        <v>58</v>
      </c>
      <c r="K253" t="s">
        <v>108</v>
      </c>
      <c r="L253">
        <v>1631.75</v>
      </c>
      <c r="M253" t="s">
        <v>45</v>
      </c>
      <c r="N253" t="s">
        <v>304</v>
      </c>
      <c r="O253" t="s">
        <v>110</v>
      </c>
      <c r="P253" t="s">
        <v>239</v>
      </c>
      <c r="Q253">
        <v>1</v>
      </c>
      <c r="R253">
        <v>800</v>
      </c>
      <c r="S253">
        <v>831.75</v>
      </c>
      <c r="T253">
        <v>0</v>
      </c>
      <c r="U253">
        <v>0</v>
      </c>
      <c r="V253" t="s">
        <v>48</v>
      </c>
      <c r="W253">
        <v>0</v>
      </c>
      <c r="X253">
        <v>0</v>
      </c>
      <c r="Y253" t="s">
        <v>67</v>
      </c>
      <c r="Z253" t="s">
        <v>32</v>
      </c>
    </row>
    <row r="254" spans="1:26" x14ac:dyDescent="0.35">
      <c r="A254" t="s">
        <v>474</v>
      </c>
      <c r="B254" s="2">
        <v>45775</v>
      </c>
      <c r="C254">
        <v>2025</v>
      </c>
      <c r="D254">
        <v>4</v>
      </c>
      <c r="E254" t="s">
        <v>77</v>
      </c>
      <c r="F254" t="s">
        <v>534</v>
      </c>
      <c r="G254" t="s">
        <v>61</v>
      </c>
      <c r="H254" t="s">
        <v>62</v>
      </c>
      <c r="I254" t="s">
        <v>63</v>
      </c>
      <c r="J254" t="s">
        <v>54</v>
      </c>
      <c r="K254" t="s">
        <v>44</v>
      </c>
      <c r="L254">
        <v>109.18</v>
      </c>
      <c r="M254" t="s">
        <v>45</v>
      </c>
      <c r="N254" t="s">
        <v>116</v>
      </c>
      <c r="O254" t="s">
        <v>57</v>
      </c>
      <c r="P254" t="s">
        <v>137</v>
      </c>
      <c r="Q254">
        <v>0</v>
      </c>
      <c r="R254">
        <v>150</v>
      </c>
      <c r="S254">
        <v>0</v>
      </c>
      <c r="T254">
        <v>0</v>
      </c>
      <c r="U254">
        <v>0</v>
      </c>
      <c r="V254" t="s">
        <v>48</v>
      </c>
      <c r="W254">
        <v>0</v>
      </c>
      <c r="X254">
        <v>0</v>
      </c>
      <c r="Y254" t="s">
        <v>49</v>
      </c>
      <c r="Z254" t="s">
        <v>49</v>
      </c>
    </row>
    <row r="255" spans="1:26" x14ac:dyDescent="0.35">
      <c r="A255" t="s">
        <v>475</v>
      </c>
      <c r="B255" s="2">
        <v>45694</v>
      </c>
      <c r="C255">
        <v>2025</v>
      </c>
      <c r="D255">
        <v>2</v>
      </c>
      <c r="E255" t="s">
        <v>51</v>
      </c>
      <c r="F255" t="s">
        <v>532</v>
      </c>
      <c r="G255" t="s">
        <v>61</v>
      </c>
      <c r="H255" t="s">
        <v>62</v>
      </c>
      <c r="I255" t="s">
        <v>63</v>
      </c>
      <c r="J255" t="s">
        <v>54</v>
      </c>
      <c r="K255" t="s">
        <v>108</v>
      </c>
      <c r="L255">
        <v>521.54999999999995</v>
      </c>
      <c r="M255" t="s">
        <v>45</v>
      </c>
      <c r="N255" t="s">
        <v>273</v>
      </c>
      <c r="O255" t="s">
        <v>66</v>
      </c>
      <c r="P255" t="s">
        <v>58</v>
      </c>
      <c r="Q255">
        <v>0</v>
      </c>
      <c r="R255">
        <v>800</v>
      </c>
      <c r="S255">
        <v>0</v>
      </c>
      <c r="T255">
        <v>1</v>
      </c>
      <c r="U255">
        <v>521.54999999999995</v>
      </c>
      <c r="V255" t="s">
        <v>33</v>
      </c>
      <c r="W255">
        <v>0</v>
      </c>
      <c r="X255">
        <v>0</v>
      </c>
      <c r="Y255" t="s">
        <v>67</v>
      </c>
      <c r="Z255" t="s">
        <v>33</v>
      </c>
    </row>
    <row r="256" spans="1:26" x14ac:dyDescent="0.35">
      <c r="A256" t="s">
        <v>476</v>
      </c>
      <c r="B256" s="2">
        <v>45867</v>
      </c>
      <c r="C256">
        <v>2025</v>
      </c>
      <c r="D256">
        <v>7</v>
      </c>
      <c r="E256" t="s">
        <v>60</v>
      </c>
      <c r="F256" t="s">
        <v>533</v>
      </c>
      <c r="G256" t="s">
        <v>184</v>
      </c>
      <c r="H256" t="s">
        <v>185</v>
      </c>
      <c r="I256" t="s">
        <v>93</v>
      </c>
      <c r="J256" t="s">
        <v>43</v>
      </c>
      <c r="K256" t="s">
        <v>44</v>
      </c>
      <c r="L256">
        <v>162.09</v>
      </c>
      <c r="M256" t="s">
        <v>45</v>
      </c>
      <c r="N256" t="s">
        <v>109</v>
      </c>
      <c r="O256" t="s">
        <v>110</v>
      </c>
      <c r="P256" t="s">
        <v>209</v>
      </c>
      <c r="Q256">
        <v>1</v>
      </c>
      <c r="R256">
        <v>150</v>
      </c>
      <c r="S256">
        <v>12.09</v>
      </c>
      <c r="T256">
        <v>0</v>
      </c>
      <c r="U256">
        <v>0</v>
      </c>
      <c r="V256" t="s">
        <v>48</v>
      </c>
      <c r="W256">
        <v>0</v>
      </c>
      <c r="X256">
        <v>0</v>
      </c>
      <c r="Y256" t="s">
        <v>67</v>
      </c>
      <c r="Z256" t="s">
        <v>32</v>
      </c>
    </row>
    <row r="257" spans="1:26" x14ac:dyDescent="0.35">
      <c r="A257" t="s">
        <v>477</v>
      </c>
      <c r="B257" s="2">
        <v>45961</v>
      </c>
      <c r="C257">
        <v>2025</v>
      </c>
      <c r="D257">
        <v>10</v>
      </c>
      <c r="E257" t="s">
        <v>39</v>
      </c>
      <c r="F257" t="s">
        <v>531</v>
      </c>
      <c r="G257" t="s">
        <v>195</v>
      </c>
      <c r="H257" t="s">
        <v>196</v>
      </c>
      <c r="I257" t="s">
        <v>71</v>
      </c>
      <c r="J257" t="s">
        <v>54</v>
      </c>
      <c r="K257" t="s">
        <v>55</v>
      </c>
      <c r="L257">
        <v>277.64999999999998</v>
      </c>
      <c r="M257" t="s">
        <v>45</v>
      </c>
      <c r="N257" t="s">
        <v>144</v>
      </c>
      <c r="O257" t="s">
        <v>66</v>
      </c>
      <c r="P257" t="s">
        <v>94</v>
      </c>
      <c r="Q257">
        <v>0</v>
      </c>
      <c r="R257">
        <v>300</v>
      </c>
      <c r="S257">
        <v>0</v>
      </c>
      <c r="T257">
        <v>0</v>
      </c>
      <c r="U257">
        <v>0</v>
      </c>
      <c r="V257" t="s">
        <v>48</v>
      </c>
      <c r="W257">
        <v>0</v>
      </c>
      <c r="X257">
        <v>0</v>
      </c>
      <c r="Y257" t="s">
        <v>49</v>
      </c>
      <c r="Z257" t="s">
        <v>49</v>
      </c>
    </row>
    <row r="258" spans="1:26" x14ac:dyDescent="0.35">
      <c r="A258" t="s">
        <v>478</v>
      </c>
      <c r="B258" s="2">
        <v>45881</v>
      </c>
      <c r="C258">
        <v>2025</v>
      </c>
      <c r="D258">
        <v>8</v>
      </c>
      <c r="E258" t="s">
        <v>96</v>
      </c>
      <c r="F258" t="s">
        <v>536</v>
      </c>
      <c r="G258" t="s">
        <v>141</v>
      </c>
      <c r="H258" t="s">
        <v>142</v>
      </c>
      <c r="I258" t="s">
        <v>71</v>
      </c>
      <c r="J258" t="s">
        <v>58</v>
      </c>
      <c r="K258" t="s">
        <v>81</v>
      </c>
      <c r="L258">
        <v>80.11</v>
      </c>
      <c r="M258" t="s">
        <v>73</v>
      </c>
      <c r="N258" t="s">
        <v>187</v>
      </c>
      <c r="O258" t="s">
        <v>110</v>
      </c>
      <c r="P258" t="s">
        <v>43</v>
      </c>
      <c r="Q258">
        <v>1</v>
      </c>
      <c r="R258">
        <v>75</v>
      </c>
      <c r="S258">
        <v>5.1100000000000003</v>
      </c>
      <c r="T258">
        <v>0</v>
      </c>
      <c r="U258">
        <v>0</v>
      </c>
      <c r="V258" t="s">
        <v>48</v>
      </c>
      <c r="W258">
        <v>1</v>
      </c>
      <c r="X258">
        <v>80.11</v>
      </c>
      <c r="Y258" t="s">
        <v>67</v>
      </c>
      <c r="Z258" t="s">
        <v>220</v>
      </c>
    </row>
    <row r="259" spans="1:26" x14ac:dyDescent="0.35">
      <c r="A259" t="s">
        <v>479</v>
      </c>
      <c r="B259" s="2">
        <v>45950</v>
      </c>
      <c r="C259">
        <v>2025</v>
      </c>
      <c r="D259">
        <v>10</v>
      </c>
      <c r="E259" t="s">
        <v>39</v>
      </c>
      <c r="F259" t="s">
        <v>531</v>
      </c>
      <c r="G259" t="s">
        <v>359</v>
      </c>
      <c r="H259" t="s">
        <v>360</v>
      </c>
      <c r="I259" t="s">
        <v>71</v>
      </c>
      <c r="J259" t="s">
        <v>43</v>
      </c>
      <c r="K259" t="s">
        <v>81</v>
      </c>
      <c r="L259">
        <v>85.3</v>
      </c>
      <c r="M259" t="s">
        <v>73</v>
      </c>
      <c r="N259" t="s">
        <v>88</v>
      </c>
      <c r="O259" t="s">
        <v>66</v>
      </c>
      <c r="P259" t="s">
        <v>177</v>
      </c>
      <c r="Q259">
        <v>1</v>
      </c>
      <c r="R259">
        <v>75</v>
      </c>
      <c r="S259">
        <v>10.3</v>
      </c>
      <c r="T259">
        <v>0</v>
      </c>
      <c r="U259">
        <v>0</v>
      </c>
      <c r="V259" t="s">
        <v>48</v>
      </c>
      <c r="W259">
        <v>1</v>
      </c>
      <c r="X259">
        <v>85.3</v>
      </c>
      <c r="Y259" t="s">
        <v>67</v>
      </c>
      <c r="Z259" t="s">
        <v>220</v>
      </c>
    </row>
    <row r="260" spans="1:26" x14ac:dyDescent="0.35">
      <c r="A260" t="s">
        <v>480</v>
      </c>
      <c r="B260" s="2">
        <v>46010</v>
      </c>
      <c r="C260">
        <v>2025</v>
      </c>
      <c r="D260">
        <v>12</v>
      </c>
      <c r="E260" t="s">
        <v>103</v>
      </c>
      <c r="F260" t="s">
        <v>537</v>
      </c>
      <c r="G260" t="s">
        <v>61</v>
      </c>
      <c r="H260" t="s">
        <v>62</v>
      </c>
      <c r="I260" t="s">
        <v>63</v>
      </c>
      <c r="J260" t="s">
        <v>54</v>
      </c>
      <c r="K260" t="s">
        <v>108</v>
      </c>
      <c r="L260">
        <v>928.43</v>
      </c>
      <c r="M260" t="s">
        <v>45</v>
      </c>
      <c r="N260" t="s">
        <v>293</v>
      </c>
      <c r="O260" t="s">
        <v>57</v>
      </c>
      <c r="P260" t="s">
        <v>54</v>
      </c>
      <c r="Q260">
        <v>1</v>
      </c>
      <c r="R260">
        <v>800</v>
      </c>
      <c r="S260">
        <v>128.43</v>
      </c>
      <c r="T260">
        <v>0</v>
      </c>
      <c r="U260">
        <v>0</v>
      </c>
      <c r="V260" t="s">
        <v>48</v>
      </c>
      <c r="W260">
        <v>0</v>
      </c>
      <c r="X260">
        <v>0</v>
      </c>
      <c r="Y260" t="s">
        <v>67</v>
      </c>
      <c r="Z260" t="s">
        <v>32</v>
      </c>
    </row>
    <row r="261" spans="1:26" x14ac:dyDescent="0.35">
      <c r="A261" t="s">
        <v>481</v>
      </c>
      <c r="B261" s="2">
        <v>45988</v>
      </c>
      <c r="C261">
        <v>2025</v>
      </c>
      <c r="D261">
        <v>11</v>
      </c>
      <c r="E261" t="s">
        <v>132</v>
      </c>
      <c r="F261" t="s">
        <v>540</v>
      </c>
      <c r="G261" t="s">
        <v>61</v>
      </c>
      <c r="H261" t="s">
        <v>62</v>
      </c>
      <c r="I261" t="s">
        <v>63</v>
      </c>
      <c r="J261" t="s">
        <v>54</v>
      </c>
      <c r="K261" t="s">
        <v>44</v>
      </c>
      <c r="L261">
        <v>129.86000000000001</v>
      </c>
      <c r="M261" t="s">
        <v>45</v>
      </c>
      <c r="N261" t="s">
        <v>122</v>
      </c>
      <c r="O261" t="s">
        <v>100</v>
      </c>
      <c r="P261" t="s">
        <v>156</v>
      </c>
      <c r="Q261">
        <v>0</v>
      </c>
      <c r="R261">
        <v>150</v>
      </c>
      <c r="S261">
        <v>0</v>
      </c>
      <c r="T261">
        <v>0</v>
      </c>
      <c r="U261">
        <v>0</v>
      </c>
      <c r="V261" t="s">
        <v>48</v>
      </c>
      <c r="W261">
        <v>0</v>
      </c>
      <c r="X261">
        <v>0</v>
      </c>
      <c r="Y261" t="s">
        <v>49</v>
      </c>
      <c r="Z261" t="s">
        <v>49</v>
      </c>
    </row>
    <row r="262" spans="1:26" x14ac:dyDescent="0.35">
      <c r="A262" t="s">
        <v>482</v>
      </c>
      <c r="B262" s="2">
        <v>45982</v>
      </c>
      <c r="C262">
        <v>2025</v>
      </c>
      <c r="D262">
        <v>11</v>
      </c>
      <c r="E262" t="s">
        <v>132</v>
      </c>
      <c r="F262" t="s">
        <v>540</v>
      </c>
      <c r="G262" t="s">
        <v>291</v>
      </c>
      <c r="H262" t="s">
        <v>292</v>
      </c>
      <c r="I262" t="s">
        <v>63</v>
      </c>
      <c r="J262" t="s">
        <v>43</v>
      </c>
      <c r="K262" t="s">
        <v>81</v>
      </c>
      <c r="L262">
        <v>46.15</v>
      </c>
      <c r="M262" t="s">
        <v>45</v>
      </c>
      <c r="N262" t="s">
        <v>250</v>
      </c>
      <c r="O262" t="s">
        <v>110</v>
      </c>
      <c r="P262" t="s">
        <v>137</v>
      </c>
      <c r="Q262">
        <v>0</v>
      </c>
      <c r="R262">
        <v>75</v>
      </c>
      <c r="S262">
        <v>0</v>
      </c>
      <c r="T262">
        <v>1</v>
      </c>
      <c r="U262">
        <v>46.15</v>
      </c>
      <c r="V262" t="s">
        <v>33</v>
      </c>
      <c r="W262">
        <v>0</v>
      </c>
      <c r="X262">
        <v>0</v>
      </c>
      <c r="Y262" t="s">
        <v>67</v>
      </c>
      <c r="Z262" t="s">
        <v>33</v>
      </c>
    </row>
    <row r="263" spans="1:26" x14ac:dyDescent="0.35">
      <c r="A263" t="s">
        <v>483</v>
      </c>
      <c r="B263" s="2">
        <v>45797</v>
      </c>
      <c r="C263">
        <v>2025</v>
      </c>
      <c r="D263">
        <v>5</v>
      </c>
      <c r="E263" t="s">
        <v>113</v>
      </c>
      <c r="F263" t="s">
        <v>538</v>
      </c>
      <c r="G263" t="s">
        <v>61</v>
      </c>
      <c r="H263" t="s">
        <v>62</v>
      </c>
      <c r="I263" t="s">
        <v>63</v>
      </c>
      <c r="J263" t="s">
        <v>54</v>
      </c>
      <c r="K263" t="s">
        <v>44</v>
      </c>
      <c r="L263">
        <v>68.8</v>
      </c>
      <c r="M263" t="s">
        <v>45</v>
      </c>
      <c r="N263" t="s">
        <v>144</v>
      </c>
      <c r="O263" t="s">
        <v>66</v>
      </c>
      <c r="P263" t="s">
        <v>156</v>
      </c>
      <c r="Q263">
        <v>0</v>
      </c>
      <c r="R263">
        <v>150</v>
      </c>
      <c r="S263">
        <v>0</v>
      </c>
      <c r="T263">
        <v>0</v>
      </c>
      <c r="U263">
        <v>0</v>
      </c>
      <c r="V263" t="s">
        <v>48</v>
      </c>
      <c r="W263">
        <v>0</v>
      </c>
      <c r="X263">
        <v>0</v>
      </c>
      <c r="Y263" t="s">
        <v>49</v>
      </c>
      <c r="Z263" t="s">
        <v>49</v>
      </c>
    </row>
    <row r="264" spans="1:26" x14ac:dyDescent="0.35">
      <c r="A264" t="s">
        <v>484</v>
      </c>
      <c r="B264" s="2">
        <v>45736</v>
      </c>
      <c r="C264">
        <v>2025</v>
      </c>
      <c r="D264">
        <v>3</v>
      </c>
      <c r="E264" t="s">
        <v>135</v>
      </c>
      <c r="F264" t="s">
        <v>541</v>
      </c>
      <c r="G264" t="s">
        <v>291</v>
      </c>
      <c r="H264" t="s">
        <v>292</v>
      </c>
      <c r="I264" t="s">
        <v>63</v>
      </c>
      <c r="J264" t="s">
        <v>43</v>
      </c>
      <c r="K264" t="s">
        <v>108</v>
      </c>
      <c r="L264">
        <v>307.33999999999997</v>
      </c>
      <c r="M264" t="s">
        <v>45</v>
      </c>
      <c r="N264" t="s">
        <v>293</v>
      </c>
      <c r="O264" t="s">
        <v>57</v>
      </c>
      <c r="P264" t="s">
        <v>177</v>
      </c>
      <c r="Q264">
        <v>0</v>
      </c>
      <c r="R264">
        <v>800</v>
      </c>
      <c r="S264">
        <v>0</v>
      </c>
      <c r="T264">
        <v>0</v>
      </c>
      <c r="U264">
        <v>0</v>
      </c>
      <c r="V264" t="s">
        <v>48</v>
      </c>
      <c r="W264">
        <v>0</v>
      </c>
      <c r="X264">
        <v>0</v>
      </c>
      <c r="Y264" t="s">
        <v>49</v>
      </c>
      <c r="Z264" t="s">
        <v>49</v>
      </c>
    </row>
    <row r="265" spans="1:26" x14ac:dyDescent="0.35">
      <c r="A265" t="s">
        <v>485</v>
      </c>
      <c r="B265" s="2">
        <v>45793</v>
      </c>
      <c r="C265">
        <v>2025</v>
      </c>
      <c r="D265">
        <v>5</v>
      </c>
      <c r="E265" t="s">
        <v>113</v>
      </c>
      <c r="F265" t="s">
        <v>538</v>
      </c>
      <c r="G265" t="s">
        <v>295</v>
      </c>
      <c r="H265" t="s">
        <v>296</v>
      </c>
      <c r="I265" t="s">
        <v>80</v>
      </c>
      <c r="J265" t="s">
        <v>54</v>
      </c>
      <c r="K265" t="s">
        <v>81</v>
      </c>
      <c r="L265">
        <v>38.51</v>
      </c>
      <c r="M265" t="s">
        <v>45</v>
      </c>
      <c r="N265" t="s">
        <v>46</v>
      </c>
      <c r="O265" t="s">
        <v>47</v>
      </c>
      <c r="P265" t="s">
        <v>58</v>
      </c>
      <c r="Q265">
        <v>0</v>
      </c>
      <c r="R265">
        <v>75</v>
      </c>
      <c r="S265">
        <v>0</v>
      </c>
      <c r="T265">
        <v>0</v>
      </c>
      <c r="U265">
        <v>0</v>
      </c>
      <c r="V265" t="s">
        <v>48</v>
      </c>
      <c r="W265">
        <v>0</v>
      </c>
      <c r="X265">
        <v>0</v>
      </c>
      <c r="Y265" t="s">
        <v>49</v>
      </c>
      <c r="Z265" t="s">
        <v>49</v>
      </c>
    </row>
    <row r="266" spans="1:26" x14ac:dyDescent="0.35">
      <c r="A266" t="s">
        <v>486</v>
      </c>
      <c r="B266" s="2">
        <v>45663</v>
      </c>
      <c r="C266">
        <v>2025</v>
      </c>
      <c r="D266">
        <v>1</v>
      </c>
      <c r="E266" t="s">
        <v>169</v>
      </c>
      <c r="F266" t="s">
        <v>542</v>
      </c>
      <c r="G266" t="s">
        <v>237</v>
      </c>
      <c r="H266" t="s">
        <v>238</v>
      </c>
      <c r="I266" t="s">
        <v>93</v>
      </c>
      <c r="J266" t="s">
        <v>58</v>
      </c>
      <c r="K266" t="s">
        <v>81</v>
      </c>
      <c r="L266">
        <v>87.38</v>
      </c>
      <c r="M266" t="s">
        <v>73</v>
      </c>
      <c r="N266" t="s">
        <v>231</v>
      </c>
      <c r="O266" t="s">
        <v>57</v>
      </c>
      <c r="P266" t="s">
        <v>223</v>
      </c>
      <c r="Q266">
        <v>1</v>
      </c>
      <c r="R266">
        <v>75</v>
      </c>
      <c r="S266">
        <v>12.38</v>
      </c>
      <c r="T266">
        <v>0</v>
      </c>
      <c r="U266">
        <v>0</v>
      </c>
      <c r="V266" t="s">
        <v>48</v>
      </c>
      <c r="W266">
        <v>1</v>
      </c>
      <c r="X266">
        <v>87.38</v>
      </c>
      <c r="Y266" t="s">
        <v>67</v>
      </c>
      <c r="Z266" t="s">
        <v>220</v>
      </c>
    </row>
    <row r="267" spans="1:26" x14ac:dyDescent="0.35">
      <c r="A267" t="s">
        <v>487</v>
      </c>
      <c r="B267" s="2">
        <v>45681</v>
      </c>
      <c r="C267">
        <v>2025</v>
      </c>
      <c r="D267">
        <v>1</v>
      </c>
      <c r="E267" t="s">
        <v>169</v>
      </c>
      <c r="F267" t="s">
        <v>542</v>
      </c>
      <c r="G267" t="s">
        <v>84</v>
      </c>
      <c r="H267" t="s">
        <v>85</v>
      </c>
      <c r="I267" t="s">
        <v>86</v>
      </c>
      <c r="J267" t="s">
        <v>58</v>
      </c>
      <c r="K267" t="s">
        <v>44</v>
      </c>
      <c r="L267">
        <v>158.72</v>
      </c>
      <c r="M267" t="s">
        <v>45</v>
      </c>
      <c r="N267" t="s">
        <v>109</v>
      </c>
      <c r="O267" t="s">
        <v>110</v>
      </c>
      <c r="P267" t="s">
        <v>156</v>
      </c>
      <c r="Q267">
        <v>1</v>
      </c>
      <c r="R267">
        <v>150</v>
      </c>
      <c r="S267">
        <v>8.7200000000000006</v>
      </c>
      <c r="T267">
        <v>0</v>
      </c>
      <c r="U267">
        <v>0</v>
      </c>
      <c r="V267" t="s">
        <v>48</v>
      </c>
      <c r="W267">
        <v>0</v>
      </c>
      <c r="X267">
        <v>0</v>
      </c>
      <c r="Y267" t="s">
        <v>67</v>
      </c>
      <c r="Z267" t="s">
        <v>32</v>
      </c>
    </row>
    <row r="268" spans="1:26" x14ac:dyDescent="0.35">
      <c r="A268" t="s">
        <v>488</v>
      </c>
      <c r="B268" s="2">
        <v>45740</v>
      </c>
      <c r="C268">
        <v>2025</v>
      </c>
      <c r="D268">
        <v>3</v>
      </c>
      <c r="E268" t="s">
        <v>135</v>
      </c>
      <c r="F268" t="s">
        <v>541</v>
      </c>
      <c r="G268" t="s">
        <v>127</v>
      </c>
      <c r="H268" t="s">
        <v>128</v>
      </c>
      <c r="I268" t="s">
        <v>63</v>
      </c>
      <c r="J268" t="s">
        <v>54</v>
      </c>
      <c r="K268" t="s">
        <v>108</v>
      </c>
      <c r="L268">
        <v>375.89</v>
      </c>
      <c r="M268" t="s">
        <v>45</v>
      </c>
      <c r="N268" t="s">
        <v>136</v>
      </c>
      <c r="O268" t="s">
        <v>57</v>
      </c>
      <c r="P268" t="s">
        <v>75</v>
      </c>
      <c r="Q268">
        <v>0</v>
      </c>
      <c r="R268">
        <v>800</v>
      </c>
      <c r="S268">
        <v>0</v>
      </c>
      <c r="T268">
        <v>0</v>
      </c>
      <c r="U268">
        <v>0</v>
      </c>
      <c r="V268" t="s">
        <v>48</v>
      </c>
      <c r="W268">
        <v>0</v>
      </c>
      <c r="X268">
        <v>0</v>
      </c>
      <c r="Y268" t="s">
        <v>49</v>
      </c>
      <c r="Z268" t="s">
        <v>49</v>
      </c>
    </row>
    <row r="269" spans="1:26" x14ac:dyDescent="0.35">
      <c r="A269" t="s">
        <v>489</v>
      </c>
      <c r="B269" s="2">
        <v>45870</v>
      </c>
      <c r="C269">
        <v>2025</v>
      </c>
      <c r="D269">
        <v>8</v>
      </c>
      <c r="E269" t="s">
        <v>96</v>
      </c>
      <c r="F269" t="s">
        <v>536</v>
      </c>
      <c r="G269" t="s">
        <v>237</v>
      </c>
      <c r="H269" t="s">
        <v>238</v>
      </c>
      <c r="I269" t="s">
        <v>93</v>
      </c>
      <c r="J269" t="s">
        <v>58</v>
      </c>
      <c r="K269" t="s">
        <v>108</v>
      </c>
      <c r="L269">
        <v>477.37</v>
      </c>
      <c r="M269" t="s">
        <v>45</v>
      </c>
      <c r="N269" t="s">
        <v>144</v>
      </c>
      <c r="O269" t="s">
        <v>66</v>
      </c>
      <c r="P269" t="s">
        <v>58</v>
      </c>
      <c r="Q269">
        <v>0</v>
      </c>
      <c r="R269">
        <v>800</v>
      </c>
      <c r="S269">
        <v>0</v>
      </c>
      <c r="T269">
        <v>0</v>
      </c>
      <c r="U269">
        <v>0</v>
      </c>
      <c r="V269" t="s">
        <v>48</v>
      </c>
      <c r="W269">
        <v>0</v>
      </c>
      <c r="X269">
        <v>0</v>
      </c>
      <c r="Y269" t="s">
        <v>49</v>
      </c>
      <c r="Z269" t="s">
        <v>49</v>
      </c>
    </row>
    <row r="270" spans="1:26" x14ac:dyDescent="0.35">
      <c r="A270" t="s">
        <v>490</v>
      </c>
      <c r="B270" s="2">
        <v>45775</v>
      </c>
      <c r="C270">
        <v>2025</v>
      </c>
      <c r="D270">
        <v>4</v>
      </c>
      <c r="E270" t="s">
        <v>77</v>
      </c>
      <c r="F270" t="s">
        <v>534</v>
      </c>
      <c r="G270" t="s">
        <v>61</v>
      </c>
      <c r="H270" t="s">
        <v>62</v>
      </c>
      <c r="I270" t="s">
        <v>63</v>
      </c>
      <c r="J270" t="s">
        <v>54</v>
      </c>
      <c r="K270" t="s">
        <v>72</v>
      </c>
      <c r="L270">
        <v>49.98</v>
      </c>
      <c r="M270" t="s">
        <v>45</v>
      </c>
      <c r="N270" t="s">
        <v>136</v>
      </c>
      <c r="O270" t="s">
        <v>57</v>
      </c>
      <c r="P270" t="s">
        <v>156</v>
      </c>
      <c r="Q270">
        <v>0</v>
      </c>
      <c r="R270">
        <v>75</v>
      </c>
      <c r="S270">
        <v>0</v>
      </c>
      <c r="T270">
        <v>0</v>
      </c>
      <c r="U270">
        <v>0</v>
      </c>
      <c r="V270" t="s">
        <v>48</v>
      </c>
      <c r="W270">
        <v>0</v>
      </c>
      <c r="X270">
        <v>0</v>
      </c>
      <c r="Y270" t="s">
        <v>49</v>
      </c>
      <c r="Z270" t="s">
        <v>49</v>
      </c>
    </row>
    <row r="271" spans="1:26" x14ac:dyDescent="0.35">
      <c r="A271" t="s">
        <v>491</v>
      </c>
      <c r="B271" s="2">
        <v>45777</v>
      </c>
      <c r="C271">
        <v>2025</v>
      </c>
      <c r="D271">
        <v>4</v>
      </c>
      <c r="E271" t="s">
        <v>77</v>
      </c>
      <c r="F271" t="s">
        <v>534</v>
      </c>
      <c r="G271" t="s">
        <v>61</v>
      </c>
      <c r="H271" t="s">
        <v>62</v>
      </c>
      <c r="I271" t="s">
        <v>63</v>
      </c>
      <c r="J271" t="s">
        <v>54</v>
      </c>
      <c r="K271" t="s">
        <v>87</v>
      </c>
      <c r="L271">
        <v>52.78</v>
      </c>
      <c r="M271" t="s">
        <v>45</v>
      </c>
      <c r="N271" t="s">
        <v>187</v>
      </c>
      <c r="O271" t="s">
        <v>110</v>
      </c>
      <c r="P271" t="s">
        <v>156</v>
      </c>
      <c r="Q271">
        <v>1</v>
      </c>
      <c r="R271">
        <v>50</v>
      </c>
      <c r="S271">
        <v>2.78</v>
      </c>
      <c r="T271">
        <v>0</v>
      </c>
      <c r="U271">
        <v>0</v>
      </c>
      <c r="V271" t="s">
        <v>48</v>
      </c>
      <c r="W271">
        <v>0</v>
      </c>
      <c r="X271">
        <v>0</v>
      </c>
      <c r="Y271" t="s">
        <v>67</v>
      </c>
      <c r="Z271" t="s">
        <v>32</v>
      </c>
    </row>
    <row r="272" spans="1:26" x14ac:dyDescent="0.35">
      <c r="A272" t="s">
        <v>492</v>
      </c>
      <c r="B272" s="2">
        <v>45751</v>
      </c>
      <c r="C272">
        <v>2025</v>
      </c>
      <c r="D272">
        <v>4</v>
      </c>
      <c r="E272" t="s">
        <v>77</v>
      </c>
      <c r="F272" t="s">
        <v>534</v>
      </c>
      <c r="G272" t="s">
        <v>323</v>
      </c>
      <c r="H272" t="s">
        <v>324</v>
      </c>
      <c r="I272" t="s">
        <v>63</v>
      </c>
      <c r="J272" t="s">
        <v>54</v>
      </c>
      <c r="K272" t="s">
        <v>108</v>
      </c>
      <c r="L272">
        <v>439.43</v>
      </c>
      <c r="M272" t="s">
        <v>73</v>
      </c>
      <c r="N272" t="s">
        <v>136</v>
      </c>
      <c r="O272" t="s">
        <v>57</v>
      </c>
      <c r="P272" t="s">
        <v>94</v>
      </c>
      <c r="Q272">
        <v>0</v>
      </c>
      <c r="R272">
        <v>800</v>
      </c>
      <c r="S272">
        <v>0</v>
      </c>
      <c r="T272">
        <v>0</v>
      </c>
      <c r="U272">
        <v>0</v>
      </c>
      <c r="V272" t="s">
        <v>48</v>
      </c>
      <c r="W272">
        <v>1</v>
      </c>
      <c r="X272">
        <v>439.43</v>
      </c>
      <c r="Y272" t="s">
        <v>67</v>
      </c>
      <c r="Z272" t="s">
        <v>73</v>
      </c>
    </row>
    <row r="273" spans="1:26" x14ac:dyDescent="0.35">
      <c r="A273" t="s">
        <v>493</v>
      </c>
      <c r="B273" s="2">
        <v>45723</v>
      </c>
      <c r="C273">
        <v>2025</v>
      </c>
      <c r="D273">
        <v>3</v>
      </c>
      <c r="E273" t="s">
        <v>135</v>
      </c>
      <c r="F273" t="s">
        <v>541</v>
      </c>
      <c r="G273" t="s">
        <v>494</v>
      </c>
      <c r="H273" t="s">
        <v>495</v>
      </c>
      <c r="I273" t="s">
        <v>71</v>
      </c>
      <c r="J273" t="s">
        <v>54</v>
      </c>
      <c r="K273" t="s">
        <v>87</v>
      </c>
      <c r="L273">
        <v>46.36</v>
      </c>
      <c r="M273" t="s">
        <v>45</v>
      </c>
      <c r="N273" t="s">
        <v>122</v>
      </c>
      <c r="O273" t="s">
        <v>100</v>
      </c>
      <c r="P273" t="s">
        <v>111</v>
      </c>
      <c r="Q273">
        <v>0</v>
      </c>
      <c r="R273">
        <v>50</v>
      </c>
      <c r="S273">
        <v>0</v>
      </c>
      <c r="T273">
        <v>0</v>
      </c>
      <c r="U273">
        <v>0</v>
      </c>
      <c r="V273" t="s">
        <v>48</v>
      </c>
      <c r="W273">
        <v>0</v>
      </c>
      <c r="X273">
        <v>0</v>
      </c>
      <c r="Y273" t="s">
        <v>49</v>
      </c>
      <c r="Z273" t="s">
        <v>49</v>
      </c>
    </row>
    <row r="274" spans="1:26" x14ac:dyDescent="0.35">
      <c r="A274" t="s">
        <v>496</v>
      </c>
      <c r="B274" s="2">
        <v>45715</v>
      </c>
      <c r="C274">
        <v>2025</v>
      </c>
      <c r="D274">
        <v>2</v>
      </c>
      <c r="E274" t="s">
        <v>51</v>
      </c>
      <c r="F274" t="s">
        <v>532</v>
      </c>
      <c r="G274" t="s">
        <v>127</v>
      </c>
      <c r="H274" t="s">
        <v>128</v>
      </c>
      <c r="I274" t="s">
        <v>63</v>
      </c>
      <c r="J274" t="s">
        <v>54</v>
      </c>
      <c r="K274" t="s">
        <v>87</v>
      </c>
      <c r="L274">
        <v>35.909999999999997</v>
      </c>
      <c r="M274" t="s">
        <v>73</v>
      </c>
      <c r="N274" t="s">
        <v>325</v>
      </c>
      <c r="O274" t="s">
        <v>110</v>
      </c>
      <c r="P274" t="s">
        <v>43</v>
      </c>
      <c r="Q274">
        <v>0</v>
      </c>
      <c r="R274">
        <v>50</v>
      </c>
      <c r="S274">
        <v>0</v>
      </c>
      <c r="T274">
        <v>0</v>
      </c>
      <c r="U274">
        <v>0</v>
      </c>
      <c r="V274" t="s">
        <v>48</v>
      </c>
      <c r="W274">
        <v>1</v>
      </c>
      <c r="X274">
        <v>35.909999999999997</v>
      </c>
      <c r="Y274" t="s">
        <v>67</v>
      </c>
      <c r="Z274" t="s">
        <v>73</v>
      </c>
    </row>
    <row r="275" spans="1:26" x14ac:dyDescent="0.35">
      <c r="A275" t="s">
        <v>497</v>
      </c>
      <c r="B275" s="2">
        <v>45714</v>
      </c>
      <c r="C275">
        <v>2025</v>
      </c>
      <c r="D275">
        <v>2</v>
      </c>
      <c r="E275" t="s">
        <v>51</v>
      </c>
      <c r="F275" t="s">
        <v>532</v>
      </c>
      <c r="G275" t="s">
        <v>61</v>
      </c>
      <c r="H275" t="s">
        <v>62</v>
      </c>
      <c r="I275" t="s">
        <v>63</v>
      </c>
      <c r="J275" t="s">
        <v>54</v>
      </c>
      <c r="K275" t="s">
        <v>64</v>
      </c>
      <c r="L275">
        <v>19.47</v>
      </c>
      <c r="M275" t="s">
        <v>45</v>
      </c>
      <c r="N275" t="s">
        <v>283</v>
      </c>
      <c r="O275" t="s">
        <v>66</v>
      </c>
      <c r="P275" t="s">
        <v>137</v>
      </c>
      <c r="Q275">
        <v>0</v>
      </c>
      <c r="R275">
        <v>30</v>
      </c>
      <c r="S275">
        <v>0</v>
      </c>
      <c r="T275">
        <v>0</v>
      </c>
      <c r="U275">
        <v>0</v>
      </c>
      <c r="V275" t="s">
        <v>48</v>
      </c>
      <c r="W275">
        <v>0</v>
      </c>
      <c r="X275">
        <v>0</v>
      </c>
      <c r="Y275" t="s">
        <v>49</v>
      </c>
      <c r="Z275" t="s">
        <v>49</v>
      </c>
    </row>
    <row r="276" spans="1:26" x14ac:dyDescent="0.35">
      <c r="A276" t="s">
        <v>498</v>
      </c>
      <c r="B276" s="2">
        <v>45874</v>
      </c>
      <c r="C276">
        <v>2025</v>
      </c>
      <c r="D276">
        <v>8</v>
      </c>
      <c r="E276" t="s">
        <v>96</v>
      </c>
      <c r="F276" t="s">
        <v>536</v>
      </c>
      <c r="G276" t="s">
        <v>252</v>
      </c>
      <c r="H276" t="s">
        <v>253</v>
      </c>
      <c r="I276" t="s">
        <v>42</v>
      </c>
      <c r="J276" t="s">
        <v>43</v>
      </c>
      <c r="K276" t="s">
        <v>72</v>
      </c>
      <c r="L276">
        <v>48.02</v>
      </c>
      <c r="M276" t="s">
        <v>73</v>
      </c>
      <c r="N276" t="s">
        <v>136</v>
      </c>
      <c r="O276" t="s">
        <v>57</v>
      </c>
      <c r="P276" t="s">
        <v>145</v>
      </c>
      <c r="Q276">
        <v>0</v>
      </c>
      <c r="R276">
        <v>75</v>
      </c>
      <c r="S276">
        <v>0</v>
      </c>
      <c r="T276">
        <v>0</v>
      </c>
      <c r="U276">
        <v>0</v>
      </c>
      <c r="V276" t="s">
        <v>48</v>
      </c>
      <c r="W276">
        <v>1</v>
      </c>
      <c r="X276">
        <v>48.02</v>
      </c>
      <c r="Y276" t="s">
        <v>67</v>
      </c>
      <c r="Z276" t="s">
        <v>73</v>
      </c>
    </row>
    <row r="277" spans="1:26" x14ac:dyDescent="0.35">
      <c r="A277" t="s">
        <v>499</v>
      </c>
      <c r="B277" s="2">
        <v>45933</v>
      </c>
      <c r="C277">
        <v>2025</v>
      </c>
      <c r="D277">
        <v>10</v>
      </c>
      <c r="E277" t="s">
        <v>39</v>
      </c>
      <c r="F277" t="s">
        <v>531</v>
      </c>
      <c r="G277" t="s">
        <v>141</v>
      </c>
      <c r="H277" t="s">
        <v>142</v>
      </c>
      <c r="I277" t="s">
        <v>71</v>
      </c>
      <c r="J277" t="s">
        <v>58</v>
      </c>
      <c r="K277" t="s">
        <v>72</v>
      </c>
      <c r="L277">
        <v>24.53</v>
      </c>
      <c r="M277" t="s">
        <v>45</v>
      </c>
      <c r="N277" t="s">
        <v>182</v>
      </c>
      <c r="O277" t="s">
        <v>47</v>
      </c>
      <c r="P277" t="s">
        <v>167</v>
      </c>
      <c r="Q277">
        <v>0</v>
      </c>
      <c r="R277">
        <v>75</v>
      </c>
      <c r="S277">
        <v>0</v>
      </c>
      <c r="T277">
        <v>0</v>
      </c>
      <c r="U277">
        <v>0</v>
      </c>
      <c r="V277" t="s">
        <v>48</v>
      </c>
      <c r="W277">
        <v>0</v>
      </c>
      <c r="X277">
        <v>0</v>
      </c>
      <c r="Y277" t="s">
        <v>49</v>
      </c>
      <c r="Z277" t="s">
        <v>49</v>
      </c>
    </row>
    <row r="278" spans="1:26" x14ac:dyDescent="0.35">
      <c r="A278" t="s">
        <v>500</v>
      </c>
      <c r="B278" s="2">
        <v>45923</v>
      </c>
      <c r="C278">
        <v>2025</v>
      </c>
      <c r="D278">
        <v>9</v>
      </c>
      <c r="E278" t="s">
        <v>121</v>
      </c>
      <c r="F278" t="s">
        <v>539</v>
      </c>
      <c r="G278" t="s">
        <v>165</v>
      </c>
      <c r="H278" t="s">
        <v>166</v>
      </c>
      <c r="I278" t="s">
        <v>42</v>
      </c>
      <c r="J278" t="s">
        <v>58</v>
      </c>
      <c r="K278" t="s">
        <v>108</v>
      </c>
      <c r="L278">
        <v>1013.23</v>
      </c>
      <c r="M278" t="s">
        <v>45</v>
      </c>
      <c r="N278" t="s">
        <v>144</v>
      </c>
      <c r="O278" t="s">
        <v>66</v>
      </c>
      <c r="P278" t="s">
        <v>223</v>
      </c>
      <c r="Q278">
        <v>1</v>
      </c>
      <c r="R278">
        <v>800</v>
      </c>
      <c r="S278">
        <v>213.23</v>
      </c>
      <c r="T278">
        <v>0</v>
      </c>
      <c r="U278">
        <v>0</v>
      </c>
      <c r="V278" t="s">
        <v>48</v>
      </c>
      <c r="W278">
        <v>0</v>
      </c>
      <c r="X278">
        <v>0</v>
      </c>
      <c r="Y278" t="s">
        <v>67</v>
      </c>
      <c r="Z278" t="s">
        <v>32</v>
      </c>
    </row>
    <row r="279" spans="1:26" x14ac:dyDescent="0.35">
      <c r="A279" t="s">
        <v>501</v>
      </c>
      <c r="B279" s="2">
        <v>45866</v>
      </c>
      <c r="C279">
        <v>2025</v>
      </c>
      <c r="D279">
        <v>7</v>
      </c>
      <c r="E279" t="s">
        <v>60</v>
      </c>
      <c r="F279" t="s">
        <v>533</v>
      </c>
      <c r="G279" t="s">
        <v>266</v>
      </c>
      <c r="H279" t="s">
        <v>267</v>
      </c>
      <c r="I279" t="s">
        <v>42</v>
      </c>
      <c r="J279" t="s">
        <v>54</v>
      </c>
      <c r="K279" t="s">
        <v>108</v>
      </c>
      <c r="L279">
        <v>609.22</v>
      </c>
      <c r="M279" t="s">
        <v>45</v>
      </c>
      <c r="N279" t="s">
        <v>116</v>
      </c>
      <c r="O279" t="s">
        <v>57</v>
      </c>
      <c r="P279" t="s">
        <v>106</v>
      </c>
      <c r="Q279">
        <v>0</v>
      </c>
      <c r="R279">
        <v>800</v>
      </c>
      <c r="S279">
        <v>0</v>
      </c>
      <c r="T279">
        <v>0</v>
      </c>
      <c r="U279">
        <v>0</v>
      </c>
      <c r="V279" t="s">
        <v>48</v>
      </c>
      <c r="W279">
        <v>0</v>
      </c>
      <c r="X279">
        <v>0</v>
      </c>
      <c r="Y279" t="s">
        <v>49</v>
      </c>
      <c r="Z279" t="s">
        <v>49</v>
      </c>
    </row>
    <row r="280" spans="1:26" x14ac:dyDescent="0.35">
      <c r="A280" t="s">
        <v>502</v>
      </c>
      <c r="B280" s="2">
        <v>45971</v>
      </c>
      <c r="C280">
        <v>2025</v>
      </c>
      <c r="D280">
        <v>11</v>
      </c>
      <c r="E280" t="s">
        <v>132</v>
      </c>
      <c r="F280" t="s">
        <v>540</v>
      </c>
      <c r="G280" t="s">
        <v>195</v>
      </c>
      <c r="H280" t="s">
        <v>196</v>
      </c>
      <c r="I280" t="s">
        <v>71</v>
      </c>
      <c r="J280" t="s">
        <v>54</v>
      </c>
      <c r="K280" t="s">
        <v>64</v>
      </c>
      <c r="L280">
        <v>12.86</v>
      </c>
      <c r="M280" t="s">
        <v>73</v>
      </c>
      <c r="N280" t="s">
        <v>65</v>
      </c>
      <c r="O280" t="s">
        <v>66</v>
      </c>
      <c r="P280" t="s">
        <v>111</v>
      </c>
      <c r="Q280">
        <v>0</v>
      </c>
      <c r="R280">
        <v>30</v>
      </c>
      <c r="S280">
        <v>0</v>
      </c>
      <c r="T280">
        <v>0</v>
      </c>
      <c r="U280">
        <v>0</v>
      </c>
      <c r="V280" t="s">
        <v>48</v>
      </c>
      <c r="W280">
        <v>1</v>
      </c>
      <c r="X280">
        <v>12.86</v>
      </c>
      <c r="Y280" t="s">
        <v>67</v>
      </c>
      <c r="Z280" t="s">
        <v>73</v>
      </c>
    </row>
    <row r="281" spans="1:26" x14ac:dyDescent="0.35">
      <c r="A281" t="s">
        <v>503</v>
      </c>
      <c r="B281" s="2">
        <v>45977</v>
      </c>
      <c r="C281">
        <v>2025</v>
      </c>
      <c r="D281">
        <v>11</v>
      </c>
      <c r="E281" t="s">
        <v>132</v>
      </c>
      <c r="F281" t="s">
        <v>540</v>
      </c>
      <c r="G281" t="s">
        <v>91</v>
      </c>
      <c r="H281" t="s">
        <v>92</v>
      </c>
      <c r="I281" t="s">
        <v>93</v>
      </c>
      <c r="J281" t="s">
        <v>54</v>
      </c>
      <c r="K281" t="s">
        <v>55</v>
      </c>
      <c r="L281">
        <v>107.27</v>
      </c>
      <c r="M281" t="s">
        <v>45</v>
      </c>
      <c r="N281" t="s">
        <v>46</v>
      </c>
      <c r="O281" t="s">
        <v>47</v>
      </c>
      <c r="P281" t="s">
        <v>137</v>
      </c>
      <c r="Q281">
        <v>0</v>
      </c>
      <c r="R281">
        <v>300</v>
      </c>
      <c r="S281">
        <v>0</v>
      </c>
      <c r="T281">
        <v>0</v>
      </c>
      <c r="U281">
        <v>0</v>
      </c>
      <c r="V281" t="s">
        <v>48</v>
      </c>
      <c r="W281">
        <v>0</v>
      </c>
      <c r="X281">
        <v>0</v>
      </c>
      <c r="Y281" t="s">
        <v>49</v>
      </c>
      <c r="Z281" t="s">
        <v>49</v>
      </c>
    </row>
    <row r="282" spans="1:26" x14ac:dyDescent="0.35">
      <c r="A282" t="s">
        <v>504</v>
      </c>
      <c r="B282" s="2">
        <v>45729</v>
      </c>
      <c r="C282">
        <v>2025</v>
      </c>
      <c r="D282">
        <v>3</v>
      </c>
      <c r="E282" t="s">
        <v>135</v>
      </c>
      <c r="F282" t="s">
        <v>541</v>
      </c>
      <c r="G282" t="s">
        <v>127</v>
      </c>
      <c r="H282" t="s">
        <v>128</v>
      </c>
      <c r="I282" t="s">
        <v>63</v>
      </c>
      <c r="J282" t="s">
        <v>54</v>
      </c>
      <c r="K282" t="s">
        <v>44</v>
      </c>
      <c r="L282">
        <v>128.97</v>
      </c>
      <c r="M282" t="s">
        <v>45</v>
      </c>
      <c r="N282" t="s">
        <v>109</v>
      </c>
      <c r="O282" t="s">
        <v>110</v>
      </c>
      <c r="P282" t="s">
        <v>43</v>
      </c>
      <c r="Q282">
        <v>0</v>
      </c>
      <c r="R282">
        <v>150</v>
      </c>
      <c r="S282">
        <v>0</v>
      </c>
      <c r="T282">
        <v>0</v>
      </c>
      <c r="U282">
        <v>0</v>
      </c>
      <c r="V282" t="s">
        <v>48</v>
      </c>
      <c r="W282">
        <v>0</v>
      </c>
      <c r="X282">
        <v>0</v>
      </c>
      <c r="Y282" t="s">
        <v>49</v>
      </c>
      <c r="Z282" t="s">
        <v>49</v>
      </c>
    </row>
    <row r="283" spans="1:26" x14ac:dyDescent="0.35">
      <c r="A283" t="s">
        <v>505</v>
      </c>
      <c r="B283" s="2">
        <v>45726</v>
      </c>
      <c r="C283">
        <v>2025</v>
      </c>
      <c r="D283">
        <v>3</v>
      </c>
      <c r="E283" t="s">
        <v>135</v>
      </c>
      <c r="F283" t="s">
        <v>541</v>
      </c>
      <c r="G283" t="s">
        <v>118</v>
      </c>
      <c r="H283" t="s">
        <v>119</v>
      </c>
      <c r="I283" t="s">
        <v>42</v>
      </c>
      <c r="J283" t="s">
        <v>54</v>
      </c>
      <c r="K283" t="s">
        <v>81</v>
      </c>
      <c r="L283">
        <v>81.290000000000006</v>
      </c>
      <c r="M283" t="s">
        <v>45</v>
      </c>
      <c r="N283" t="s">
        <v>99</v>
      </c>
      <c r="O283" t="s">
        <v>100</v>
      </c>
      <c r="P283" t="s">
        <v>137</v>
      </c>
      <c r="Q283">
        <v>1</v>
      </c>
      <c r="R283">
        <v>75</v>
      </c>
      <c r="S283">
        <v>6.29</v>
      </c>
      <c r="T283">
        <v>0</v>
      </c>
      <c r="U283">
        <v>0</v>
      </c>
      <c r="V283" t="s">
        <v>48</v>
      </c>
      <c r="W283">
        <v>0</v>
      </c>
      <c r="X283">
        <v>0</v>
      </c>
      <c r="Y283" t="s">
        <v>67</v>
      </c>
      <c r="Z283" t="s">
        <v>32</v>
      </c>
    </row>
    <row r="284" spans="1:26" x14ac:dyDescent="0.35">
      <c r="A284" t="s">
        <v>506</v>
      </c>
      <c r="B284" s="2">
        <v>45737</v>
      </c>
      <c r="C284">
        <v>2025</v>
      </c>
      <c r="D284">
        <v>3</v>
      </c>
      <c r="E284" t="s">
        <v>135</v>
      </c>
      <c r="F284" t="s">
        <v>541</v>
      </c>
      <c r="G284" t="s">
        <v>170</v>
      </c>
      <c r="H284" t="s">
        <v>171</v>
      </c>
      <c r="I284" t="s">
        <v>80</v>
      </c>
      <c r="J284" t="s">
        <v>54</v>
      </c>
      <c r="K284" t="s">
        <v>55</v>
      </c>
      <c r="L284">
        <v>237.56</v>
      </c>
      <c r="M284" t="s">
        <v>45</v>
      </c>
      <c r="N284" t="s">
        <v>216</v>
      </c>
      <c r="O284" t="s">
        <v>66</v>
      </c>
      <c r="P284" t="s">
        <v>156</v>
      </c>
      <c r="Q284">
        <v>0</v>
      </c>
      <c r="R284">
        <v>300</v>
      </c>
      <c r="S284">
        <v>0</v>
      </c>
      <c r="T284">
        <v>0</v>
      </c>
      <c r="U284">
        <v>0</v>
      </c>
      <c r="V284" t="s">
        <v>48</v>
      </c>
      <c r="W284">
        <v>0</v>
      </c>
      <c r="X284">
        <v>0</v>
      </c>
      <c r="Y284" t="s">
        <v>49</v>
      </c>
      <c r="Z284" t="s">
        <v>49</v>
      </c>
    </row>
    <row r="285" spans="1:26" x14ac:dyDescent="0.35">
      <c r="A285" t="s">
        <v>507</v>
      </c>
      <c r="B285" s="2">
        <v>45765</v>
      </c>
      <c r="C285">
        <v>2025</v>
      </c>
      <c r="D285">
        <v>4</v>
      </c>
      <c r="E285" t="s">
        <v>77</v>
      </c>
      <c r="F285" t="s">
        <v>534</v>
      </c>
      <c r="G285" t="s">
        <v>61</v>
      </c>
      <c r="H285" t="s">
        <v>62</v>
      </c>
      <c r="I285" t="s">
        <v>63</v>
      </c>
      <c r="J285" t="s">
        <v>54</v>
      </c>
      <c r="K285" t="s">
        <v>81</v>
      </c>
      <c r="L285">
        <v>47.13</v>
      </c>
      <c r="M285" t="s">
        <v>45</v>
      </c>
      <c r="N285" t="s">
        <v>136</v>
      </c>
      <c r="O285" t="s">
        <v>57</v>
      </c>
      <c r="P285" t="s">
        <v>106</v>
      </c>
      <c r="Q285">
        <v>0</v>
      </c>
      <c r="R285">
        <v>75</v>
      </c>
      <c r="S285">
        <v>0</v>
      </c>
      <c r="T285">
        <v>0</v>
      </c>
      <c r="U285">
        <v>0</v>
      </c>
      <c r="V285" t="s">
        <v>48</v>
      </c>
      <c r="W285">
        <v>0</v>
      </c>
      <c r="X285">
        <v>0</v>
      </c>
      <c r="Y285" t="s">
        <v>49</v>
      </c>
      <c r="Z285" t="s">
        <v>49</v>
      </c>
    </row>
    <row r="286" spans="1:26" x14ac:dyDescent="0.35">
      <c r="A286" t="s">
        <v>508</v>
      </c>
      <c r="B286" s="2">
        <v>45800</v>
      </c>
      <c r="C286">
        <v>2025</v>
      </c>
      <c r="D286">
        <v>5</v>
      </c>
      <c r="E286" t="s">
        <v>113</v>
      </c>
      <c r="F286" t="s">
        <v>538</v>
      </c>
      <c r="G286" t="s">
        <v>395</v>
      </c>
      <c r="H286" t="s">
        <v>396</v>
      </c>
      <c r="I286" t="s">
        <v>93</v>
      </c>
      <c r="J286" t="s">
        <v>54</v>
      </c>
      <c r="K286" t="s">
        <v>72</v>
      </c>
      <c r="L286">
        <v>86.38</v>
      </c>
      <c r="M286" t="s">
        <v>45</v>
      </c>
      <c r="N286" t="s">
        <v>182</v>
      </c>
      <c r="O286" t="s">
        <v>47</v>
      </c>
      <c r="P286" t="s">
        <v>75</v>
      </c>
      <c r="Q286">
        <v>1</v>
      </c>
      <c r="R286">
        <v>75</v>
      </c>
      <c r="S286">
        <v>11.38</v>
      </c>
      <c r="T286">
        <v>0</v>
      </c>
      <c r="U286">
        <v>0</v>
      </c>
      <c r="V286" t="s">
        <v>48</v>
      </c>
      <c r="W286">
        <v>0</v>
      </c>
      <c r="X286">
        <v>0</v>
      </c>
      <c r="Y286" t="s">
        <v>67</v>
      </c>
      <c r="Z286" t="s">
        <v>32</v>
      </c>
    </row>
    <row r="287" spans="1:26" x14ac:dyDescent="0.35">
      <c r="A287" t="s">
        <v>509</v>
      </c>
      <c r="B287" s="2">
        <v>45867</v>
      </c>
      <c r="C287">
        <v>2025</v>
      </c>
      <c r="D287">
        <v>7</v>
      </c>
      <c r="E287" t="s">
        <v>60</v>
      </c>
      <c r="F287" t="s">
        <v>533</v>
      </c>
      <c r="G287" t="s">
        <v>52</v>
      </c>
      <c r="H287" t="s">
        <v>53</v>
      </c>
      <c r="I287" t="s">
        <v>42</v>
      </c>
      <c r="J287" t="s">
        <v>54</v>
      </c>
      <c r="K287" t="s">
        <v>64</v>
      </c>
      <c r="L287">
        <v>23.5</v>
      </c>
      <c r="M287" t="s">
        <v>45</v>
      </c>
      <c r="N287" t="s">
        <v>228</v>
      </c>
      <c r="O287" t="s">
        <v>47</v>
      </c>
      <c r="P287" t="s">
        <v>54</v>
      </c>
      <c r="Q287">
        <v>0</v>
      </c>
      <c r="R287">
        <v>30</v>
      </c>
      <c r="S287">
        <v>0</v>
      </c>
      <c r="T287">
        <v>0</v>
      </c>
      <c r="U287">
        <v>0</v>
      </c>
      <c r="V287" t="s">
        <v>48</v>
      </c>
      <c r="W287">
        <v>0</v>
      </c>
      <c r="X287">
        <v>0</v>
      </c>
      <c r="Y287" t="s">
        <v>49</v>
      </c>
      <c r="Z287" t="s">
        <v>49</v>
      </c>
    </row>
    <row r="288" spans="1:26" x14ac:dyDescent="0.35">
      <c r="A288" t="s">
        <v>510</v>
      </c>
      <c r="B288" s="2">
        <v>45988</v>
      </c>
      <c r="C288">
        <v>2025</v>
      </c>
      <c r="D288">
        <v>11</v>
      </c>
      <c r="E288" t="s">
        <v>132</v>
      </c>
      <c r="F288" t="s">
        <v>540</v>
      </c>
      <c r="G288" t="s">
        <v>141</v>
      </c>
      <c r="H288" t="s">
        <v>142</v>
      </c>
      <c r="I288" t="s">
        <v>71</v>
      </c>
      <c r="J288" t="s">
        <v>58</v>
      </c>
      <c r="K288" t="s">
        <v>72</v>
      </c>
      <c r="L288">
        <v>56.93</v>
      </c>
      <c r="M288" t="s">
        <v>45</v>
      </c>
      <c r="N288" t="s">
        <v>203</v>
      </c>
      <c r="O288" t="s">
        <v>47</v>
      </c>
      <c r="P288" t="s">
        <v>167</v>
      </c>
      <c r="Q288">
        <v>0</v>
      </c>
      <c r="R288">
        <v>75</v>
      </c>
      <c r="S288">
        <v>0</v>
      </c>
      <c r="T288">
        <v>0</v>
      </c>
      <c r="U288">
        <v>0</v>
      </c>
      <c r="V288" t="s">
        <v>48</v>
      </c>
      <c r="W288">
        <v>0</v>
      </c>
      <c r="X288">
        <v>0</v>
      </c>
      <c r="Y288" t="s">
        <v>49</v>
      </c>
      <c r="Z288" t="s">
        <v>49</v>
      </c>
    </row>
    <row r="289" spans="1:26" x14ac:dyDescent="0.35">
      <c r="A289" t="s">
        <v>511</v>
      </c>
      <c r="B289" s="2">
        <v>45736</v>
      </c>
      <c r="C289">
        <v>2025</v>
      </c>
      <c r="D289">
        <v>3</v>
      </c>
      <c r="E289" t="s">
        <v>135</v>
      </c>
      <c r="F289" t="s">
        <v>541</v>
      </c>
      <c r="G289" t="s">
        <v>287</v>
      </c>
      <c r="H289" t="s">
        <v>288</v>
      </c>
      <c r="I289" t="s">
        <v>86</v>
      </c>
      <c r="J289" t="s">
        <v>54</v>
      </c>
      <c r="K289" t="s">
        <v>87</v>
      </c>
      <c r="L289">
        <v>58.73</v>
      </c>
      <c r="M289" t="s">
        <v>73</v>
      </c>
      <c r="N289" t="s">
        <v>405</v>
      </c>
      <c r="O289" t="s">
        <v>66</v>
      </c>
      <c r="P289" t="s">
        <v>111</v>
      </c>
      <c r="Q289">
        <v>1</v>
      </c>
      <c r="R289">
        <v>50</v>
      </c>
      <c r="S289">
        <v>8.73</v>
      </c>
      <c r="T289">
        <v>0</v>
      </c>
      <c r="U289">
        <v>0</v>
      </c>
      <c r="V289" t="s">
        <v>48</v>
      </c>
      <c r="W289">
        <v>1</v>
      </c>
      <c r="X289">
        <v>58.73</v>
      </c>
      <c r="Y289" t="s">
        <v>67</v>
      </c>
      <c r="Z289" t="s">
        <v>220</v>
      </c>
    </row>
    <row r="290" spans="1:26" x14ac:dyDescent="0.35">
      <c r="A290" t="s">
        <v>512</v>
      </c>
      <c r="B290" s="2">
        <v>45978</v>
      </c>
      <c r="C290">
        <v>2025</v>
      </c>
      <c r="D290">
        <v>11</v>
      </c>
      <c r="E290" t="s">
        <v>132</v>
      </c>
      <c r="F290" t="s">
        <v>540</v>
      </c>
      <c r="G290" t="s">
        <v>118</v>
      </c>
      <c r="H290" t="s">
        <v>119</v>
      </c>
      <c r="I290" t="s">
        <v>42</v>
      </c>
      <c r="J290" t="s">
        <v>54</v>
      </c>
      <c r="K290" t="s">
        <v>81</v>
      </c>
      <c r="L290">
        <v>58.49</v>
      </c>
      <c r="M290" t="s">
        <v>45</v>
      </c>
      <c r="N290" t="s">
        <v>254</v>
      </c>
      <c r="O290" t="s">
        <v>105</v>
      </c>
      <c r="P290" t="s">
        <v>111</v>
      </c>
      <c r="Q290">
        <v>0</v>
      </c>
      <c r="R290">
        <v>75</v>
      </c>
      <c r="S290">
        <v>0</v>
      </c>
      <c r="T290">
        <v>0</v>
      </c>
      <c r="U290">
        <v>0</v>
      </c>
      <c r="V290" t="s">
        <v>48</v>
      </c>
      <c r="W290">
        <v>0</v>
      </c>
      <c r="X290">
        <v>0</v>
      </c>
      <c r="Y290" t="s">
        <v>49</v>
      </c>
      <c r="Z290" t="s">
        <v>49</v>
      </c>
    </row>
    <row r="291" spans="1:26" x14ac:dyDescent="0.35">
      <c r="A291" t="s">
        <v>513</v>
      </c>
      <c r="B291" s="2">
        <v>45930</v>
      </c>
      <c r="C291">
        <v>2025</v>
      </c>
      <c r="D291">
        <v>9</v>
      </c>
      <c r="E291" t="s">
        <v>121</v>
      </c>
      <c r="F291" t="s">
        <v>539</v>
      </c>
      <c r="G291" t="s">
        <v>170</v>
      </c>
      <c r="H291" t="s">
        <v>171</v>
      </c>
      <c r="I291" t="s">
        <v>80</v>
      </c>
      <c r="J291" t="s">
        <v>54</v>
      </c>
      <c r="K291" t="s">
        <v>55</v>
      </c>
      <c r="L291">
        <v>154.19999999999999</v>
      </c>
      <c r="M291" t="s">
        <v>45</v>
      </c>
      <c r="N291" t="s">
        <v>514</v>
      </c>
      <c r="O291" t="s">
        <v>110</v>
      </c>
      <c r="P291" t="s">
        <v>43</v>
      </c>
      <c r="Q291">
        <v>0</v>
      </c>
      <c r="R291">
        <v>300</v>
      </c>
      <c r="S291">
        <v>0</v>
      </c>
      <c r="T291">
        <v>0</v>
      </c>
      <c r="U291">
        <v>0</v>
      </c>
      <c r="V291" t="s">
        <v>48</v>
      </c>
      <c r="W291">
        <v>0</v>
      </c>
      <c r="X291">
        <v>0</v>
      </c>
      <c r="Y291" t="s">
        <v>49</v>
      </c>
      <c r="Z291" t="s">
        <v>49</v>
      </c>
    </row>
    <row r="292" spans="1:26" x14ac:dyDescent="0.35">
      <c r="A292" t="s">
        <v>515</v>
      </c>
      <c r="B292" s="2">
        <v>45987</v>
      </c>
      <c r="C292">
        <v>2025</v>
      </c>
      <c r="D292">
        <v>11</v>
      </c>
      <c r="E292" t="s">
        <v>132</v>
      </c>
      <c r="F292" t="s">
        <v>540</v>
      </c>
      <c r="G292" t="s">
        <v>162</v>
      </c>
      <c r="H292" t="s">
        <v>163</v>
      </c>
      <c r="I292" t="s">
        <v>63</v>
      </c>
      <c r="J292" t="s">
        <v>58</v>
      </c>
      <c r="K292" t="s">
        <v>108</v>
      </c>
      <c r="L292">
        <v>847.72</v>
      </c>
      <c r="M292" t="s">
        <v>45</v>
      </c>
      <c r="N292" t="s">
        <v>304</v>
      </c>
      <c r="O292" t="s">
        <v>110</v>
      </c>
      <c r="P292" t="s">
        <v>58</v>
      </c>
      <c r="Q292">
        <v>1</v>
      </c>
      <c r="R292">
        <v>800</v>
      </c>
      <c r="S292">
        <v>47.72</v>
      </c>
      <c r="T292">
        <v>0</v>
      </c>
      <c r="U292">
        <v>0</v>
      </c>
      <c r="V292" t="s">
        <v>48</v>
      </c>
      <c r="W292">
        <v>0</v>
      </c>
      <c r="X292">
        <v>0</v>
      </c>
      <c r="Y292" t="s">
        <v>67</v>
      </c>
      <c r="Z292" t="s">
        <v>32</v>
      </c>
    </row>
    <row r="293" spans="1:26" x14ac:dyDescent="0.35">
      <c r="A293" t="s">
        <v>516</v>
      </c>
      <c r="B293" s="2">
        <v>45838</v>
      </c>
      <c r="C293">
        <v>2025</v>
      </c>
      <c r="D293">
        <v>6</v>
      </c>
      <c r="E293" t="s">
        <v>83</v>
      </c>
      <c r="F293" t="s">
        <v>535</v>
      </c>
      <c r="G293" t="s">
        <v>127</v>
      </c>
      <c r="H293" t="s">
        <v>128</v>
      </c>
      <c r="I293" t="s">
        <v>63</v>
      </c>
      <c r="J293" t="s">
        <v>54</v>
      </c>
      <c r="K293" t="s">
        <v>87</v>
      </c>
      <c r="L293">
        <v>31.2</v>
      </c>
      <c r="M293" t="s">
        <v>45</v>
      </c>
      <c r="N293" t="s">
        <v>88</v>
      </c>
      <c r="O293" t="s">
        <v>66</v>
      </c>
      <c r="P293" t="s">
        <v>58</v>
      </c>
      <c r="Q293">
        <v>0</v>
      </c>
      <c r="R293">
        <v>50</v>
      </c>
      <c r="S293">
        <v>0</v>
      </c>
      <c r="T293">
        <v>1</v>
      </c>
      <c r="U293">
        <v>31.2</v>
      </c>
      <c r="V293" t="s">
        <v>33</v>
      </c>
      <c r="W293">
        <v>0</v>
      </c>
      <c r="X293">
        <v>0</v>
      </c>
      <c r="Y293" t="s">
        <v>67</v>
      </c>
      <c r="Z293" t="s">
        <v>33</v>
      </c>
    </row>
    <row r="294" spans="1:26" x14ac:dyDescent="0.35">
      <c r="A294" t="s">
        <v>517</v>
      </c>
      <c r="B294" s="2">
        <v>45723</v>
      </c>
      <c r="C294">
        <v>2025</v>
      </c>
      <c r="D294">
        <v>3</v>
      </c>
      <c r="E294" t="s">
        <v>135</v>
      </c>
      <c r="F294" t="s">
        <v>541</v>
      </c>
      <c r="G294" t="s">
        <v>189</v>
      </c>
      <c r="H294" t="s">
        <v>190</v>
      </c>
      <c r="I294" t="s">
        <v>93</v>
      </c>
      <c r="J294" t="s">
        <v>54</v>
      </c>
      <c r="K294" t="s">
        <v>108</v>
      </c>
      <c r="L294">
        <v>591.86</v>
      </c>
      <c r="M294" t="s">
        <v>45</v>
      </c>
      <c r="N294" t="s">
        <v>175</v>
      </c>
      <c r="O294" t="s">
        <v>57</v>
      </c>
      <c r="P294" t="s">
        <v>94</v>
      </c>
      <c r="Q294">
        <v>0</v>
      </c>
      <c r="R294">
        <v>800</v>
      </c>
      <c r="S294">
        <v>0</v>
      </c>
      <c r="T294">
        <v>0</v>
      </c>
      <c r="U294">
        <v>0</v>
      </c>
      <c r="V294" t="s">
        <v>48</v>
      </c>
      <c r="W294">
        <v>0</v>
      </c>
      <c r="X294">
        <v>0</v>
      </c>
      <c r="Y294" t="s">
        <v>49</v>
      </c>
      <c r="Z294" t="s">
        <v>49</v>
      </c>
    </row>
    <row r="295" spans="1:26" x14ac:dyDescent="0.35">
      <c r="A295" t="s">
        <v>518</v>
      </c>
      <c r="B295" s="2">
        <v>45911</v>
      </c>
      <c r="C295">
        <v>2025</v>
      </c>
      <c r="D295">
        <v>9</v>
      </c>
      <c r="E295" t="s">
        <v>121</v>
      </c>
      <c r="F295" t="s">
        <v>539</v>
      </c>
      <c r="G295" t="s">
        <v>162</v>
      </c>
      <c r="H295" t="s">
        <v>163</v>
      </c>
      <c r="I295" t="s">
        <v>63</v>
      </c>
      <c r="J295" t="s">
        <v>58</v>
      </c>
      <c r="K295" t="s">
        <v>55</v>
      </c>
      <c r="L295">
        <v>137.69</v>
      </c>
      <c r="M295" t="s">
        <v>73</v>
      </c>
      <c r="N295" t="s">
        <v>136</v>
      </c>
      <c r="O295" t="s">
        <v>57</v>
      </c>
      <c r="P295" t="s">
        <v>156</v>
      </c>
      <c r="Q295">
        <v>0</v>
      </c>
      <c r="R295">
        <v>300</v>
      </c>
      <c r="S295">
        <v>0</v>
      </c>
      <c r="T295">
        <v>0</v>
      </c>
      <c r="U295">
        <v>0</v>
      </c>
      <c r="V295" t="s">
        <v>48</v>
      </c>
      <c r="W295">
        <v>1</v>
      </c>
      <c r="X295">
        <v>137.69</v>
      </c>
      <c r="Y295" t="s">
        <v>67</v>
      </c>
      <c r="Z295" t="s">
        <v>73</v>
      </c>
    </row>
    <row r="296" spans="1:26" x14ac:dyDescent="0.35">
      <c r="A296" t="s">
        <v>519</v>
      </c>
      <c r="B296" s="2">
        <v>45986</v>
      </c>
      <c r="C296">
        <v>2025</v>
      </c>
      <c r="D296">
        <v>11</v>
      </c>
      <c r="E296" t="s">
        <v>132</v>
      </c>
      <c r="F296" t="s">
        <v>540</v>
      </c>
      <c r="G296" t="s">
        <v>295</v>
      </c>
      <c r="H296" t="s">
        <v>296</v>
      </c>
      <c r="I296" t="s">
        <v>80</v>
      </c>
      <c r="J296" t="s">
        <v>54</v>
      </c>
      <c r="K296" t="s">
        <v>81</v>
      </c>
      <c r="L296">
        <v>44.26</v>
      </c>
      <c r="M296" t="s">
        <v>45</v>
      </c>
      <c r="N296" t="s">
        <v>46</v>
      </c>
      <c r="O296" t="s">
        <v>47</v>
      </c>
      <c r="P296" t="s">
        <v>106</v>
      </c>
      <c r="Q296">
        <v>0</v>
      </c>
      <c r="R296">
        <v>75</v>
      </c>
      <c r="S296">
        <v>0</v>
      </c>
      <c r="T296">
        <v>0</v>
      </c>
      <c r="U296">
        <v>0</v>
      </c>
      <c r="V296" t="s">
        <v>48</v>
      </c>
      <c r="W296">
        <v>0</v>
      </c>
      <c r="X296">
        <v>0</v>
      </c>
      <c r="Y296" t="s">
        <v>49</v>
      </c>
      <c r="Z296" t="s">
        <v>49</v>
      </c>
    </row>
    <row r="297" spans="1:26" x14ac:dyDescent="0.35">
      <c r="A297" t="s">
        <v>520</v>
      </c>
      <c r="B297" s="2">
        <v>45702</v>
      </c>
      <c r="C297">
        <v>2025</v>
      </c>
      <c r="D297">
        <v>2</v>
      </c>
      <c r="E297" t="s">
        <v>51</v>
      </c>
      <c r="F297" t="s">
        <v>532</v>
      </c>
      <c r="G297" t="s">
        <v>69</v>
      </c>
      <c r="H297" t="s">
        <v>70</v>
      </c>
      <c r="I297" t="s">
        <v>71</v>
      </c>
      <c r="J297" t="s">
        <v>43</v>
      </c>
      <c r="K297" t="s">
        <v>108</v>
      </c>
      <c r="L297">
        <v>323.75</v>
      </c>
      <c r="M297" t="s">
        <v>45</v>
      </c>
      <c r="N297" t="s">
        <v>116</v>
      </c>
      <c r="O297" t="s">
        <v>57</v>
      </c>
      <c r="P297" t="s">
        <v>137</v>
      </c>
      <c r="Q297">
        <v>0</v>
      </c>
      <c r="R297">
        <v>800</v>
      </c>
      <c r="S297">
        <v>0</v>
      </c>
      <c r="T297">
        <v>1</v>
      </c>
      <c r="U297">
        <v>323.75</v>
      </c>
      <c r="V297" t="s">
        <v>33</v>
      </c>
      <c r="W297">
        <v>0</v>
      </c>
      <c r="X297">
        <v>0</v>
      </c>
      <c r="Y297" t="s">
        <v>67</v>
      </c>
      <c r="Z297" t="s">
        <v>33</v>
      </c>
    </row>
    <row r="298" spans="1:26" x14ac:dyDescent="0.35">
      <c r="A298" t="s">
        <v>521</v>
      </c>
      <c r="B298" s="2">
        <v>45954</v>
      </c>
      <c r="C298">
        <v>2025</v>
      </c>
      <c r="D298">
        <v>10</v>
      </c>
      <c r="E298" t="s">
        <v>39</v>
      </c>
      <c r="F298" t="s">
        <v>531</v>
      </c>
      <c r="G298" t="s">
        <v>52</v>
      </c>
      <c r="H298" t="s">
        <v>53</v>
      </c>
      <c r="I298" t="s">
        <v>42</v>
      </c>
      <c r="J298" t="s">
        <v>54</v>
      </c>
      <c r="K298" t="s">
        <v>87</v>
      </c>
      <c r="L298">
        <v>41.17</v>
      </c>
      <c r="M298" t="s">
        <v>45</v>
      </c>
      <c r="N298" t="s">
        <v>88</v>
      </c>
      <c r="O298" t="s">
        <v>66</v>
      </c>
      <c r="P298" t="s">
        <v>156</v>
      </c>
      <c r="Q298">
        <v>0</v>
      </c>
      <c r="R298">
        <v>50</v>
      </c>
      <c r="S298">
        <v>0</v>
      </c>
      <c r="T298">
        <v>0</v>
      </c>
      <c r="U298">
        <v>0</v>
      </c>
      <c r="V298" t="s">
        <v>48</v>
      </c>
      <c r="W298">
        <v>0</v>
      </c>
      <c r="X298">
        <v>0</v>
      </c>
      <c r="Y298" t="s">
        <v>49</v>
      </c>
      <c r="Z298" t="s">
        <v>49</v>
      </c>
    </row>
    <row r="299" spans="1:26" x14ac:dyDescent="0.35">
      <c r="A299" t="s">
        <v>522</v>
      </c>
      <c r="B299" s="2">
        <v>45757</v>
      </c>
      <c r="C299">
        <v>2025</v>
      </c>
      <c r="D299">
        <v>4</v>
      </c>
      <c r="E299" t="s">
        <v>77</v>
      </c>
      <c r="F299" t="s">
        <v>534</v>
      </c>
      <c r="G299" t="s">
        <v>91</v>
      </c>
      <c r="H299" t="s">
        <v>92</v>
      </c>
      <c r="I299" t="s">
        <v>93</v>
      </c>
      <c r="J299" t="s">
        <v>54</v>
      </c>
      <c r="K299" t="s">
        <v>55</v>
      </c>
      <c r="L299">
        <v>359.96</v>
      </c>
      <c r="M299" t="s">
        <v>45</v>
      </c>
      <c r="N299" t="s">
        <v>116</v>
      </c>
      <c r="O299" t="s">
        <v>57</v>
      </c>
      <c r="P299" t="s">
        <v>106</v>
      </c>
      <c r="Q299">
        <v>1</v>
      </c>
      <c r="R299">
        <v>300</v>
      </c>
      <c r="S299">
        <v>59.96</v>
      </c>
      <c r="T299">
        <v>0</v>
      </c>
      <c r="U299">
        <v>0</v>
      </c>
      <c r="V299" t="s">
        <v>48</v>
      </c>
      <c r="W299">
        <v>0</v>
      </c>
      <c r="X299">
        <v>0</v>
      </c>
      <c r="Y299" t="s">
        <v>67</v>
      </c>
      <c r="Z299" t="s">
        <v>32</v>
      </c>
    </row>
    <row r="300" spans="1:26" x14ac:dyDescent="0.35">
      <c r="A300" t="s">
        <v>523</v>
      </c>
      <c r="B300" s="2">
        <v>45875</v>
      </c>
      <c r="C300">
        <v>2025</v>
      </c>
      <c r="D300">
        <v>8</v>
      </c>
      <c r="E300" t="s">
        <v>96</v>
      </c>
      <c r="F300" t="s">
        <v>536</v>
      </c>
      <c r="G300" t="s">
        <v>162</v>
      </c>
      <c r="H300" t="s">
        <v>163</v>
      </c>
      <c r="I300" t="s">
        <v>63</v>
      </c>
      <c r="J300" t="s">
        <v>58</v>
      </c>
      <c r="K300" t="s">
        <v>44</v>
      </c>
      <c r="L300">
        <v>136.01</v>
      </c>
      <c r="M300" t="s">
        <v>45</v>
      </c>
      <c r="N300" t="s">
        <v>144</v>
      </c>
      <c r="O300" t="s">
        <v>66</v>
      </c>
      <c r="P300" t="s">
        <v>43</v>
      </c>
      <c r="Q300">
        <v>0</v>
      </c>
      <c r="R300">
        <v>150</v>
      </c>
      <c r="S300">
        <v>0</v>
      </c>
      <c r="T300">
        <v>0</v>
      </c>
      <c r="U300">
        <v>0</v>
      </c>
      <c r="V300" t="s">
        <v>48</v>
      </c>
      <c r="W300">
        <v>0</v>
      </c>
      <c r="X300">
        <v>0</v>
      </c>
      <c r="Y300" t="s">
        <v>49</v>
      </c>
      <c r="Z300" t="s">
        <v>49</v>
      </c>
    </row>
    <row r="301" spans="1:26" x14ac:dyDescent="0.35">
      <c r="A301" t="s">
        <v>524</v>
      </c>
      <c r="B301" s="2">
        <v>45964</v>
      </c>
      <c r="C301">
        <v>2025</v>
      </c>
      <c r="D301">
        <v>11</v>
      </c>
      <c r="E301" t="s">
        <v>132</v>
      </c>
      <c r="F301" t="s">
        <v>540</v>
      </c>
      <c r="G301" t="s">
        <v>336</v>
      </c>
      <c r="H301" t="s">
        <v>337</v>
      </c>
      <c r="I301" t="s">
        <v>71</v>
      </c>
      <c r="J301" t="s">
        <v>43</v>
      </c>
      <c r="K301" t="s">
        <v>108</v>
      </c>
      <c r="L301">
        <v>1136.96</v>
      </c>
      <c r="M301" t="s">
        <v>73</v>
      </c>
      <c r="N301" t="s">
        <v>109</v>
      </c>
      <c r="O301" t="s">
        <v>110</v>
      </c>
      <c r="P301" t="s">
        <v>89</v>
      </c>
      <c r="Q301">
        <v>1</v>
      </c>
      <c r="R301">
        <v>800</v>
      </c>
      <c r="S301">
        <v>336.96</v>
      </c>
      <c r="T301">
        <v>0</v>
      </c>
      <c r="U301">
        <v>0</v>
      </c>
      <c r="V301" t="s">
        <v>48</v>
      </c>
      <c r="W301">
        <v>1</v>
      </c>
      <c r="X301">
        <v>1136.96</v>
      </c>
      <c r="Y301" t="s">
        <v>67</v>
      </c>
      <c r="Z301" t="s">
        <v>220</v>
      </c>
    </row>
    <row r="302" spans="1:26" x14ac:dyDescent="0.35">
      <c r="A302" t="s">
        <v>525</v>
      </c>
      <c r="B302" s="2">
        <v>45958</v>
      </c>
      <c r="C302">
        <v>2025</v>
      </c>
      <c r="D302">
        <v>10</v>
      </c>
      <c r="E302" t="s">
        <v>39</v>
      </c>
      <c r="F302" t="s">
        <v>531</v>
      </c>
      <c r="G302" t="s">
        <v>244</v>
      </c>
      <c r="H302" t="s">
        <v>245</v>
      </c>
      <c r="I302" t="s">
        <v>63</v>
      </c>
      <c r="J302" t="s">
        <v>43</v>
      </c>
      <c r="K302" t="s">
        <v>81</v>
      </c>
      <c r="L302">
        <v>55.03</v>
      </c>
      <c r="M302" t="s">
        <v>45</v>
      </c>
      <c r="N302" t="s">
        <v>226</v>
      </c>
      <c r="O302" t="s">
        <v>66</v>
      </c>
      <c r="P302" t="s">
        <v>137</v>
      </c>
      <c r="Q302">
        <v>0</v>
      </c>
      <c r="R302">
        <v>75</v>
      </c>
      <c r="S302">
        <v>0</v>
      </c>
      <c r="T302">
        <v>0</v>
      </c>
      <c r="U302">
        <v>0</v>
      </c>
      <c r="V302" t="s">
        <v>48</v>
      </c>
      <c r="W302">
        <v>0</v>
      </c>
      <c r="X302">
        <v>0</v>
      </c>
      <c r="Y302" t="s">
        <v>49</v>
      </c>
      <c r="Z302" t="s">
        <v>49</v>
      </c>
    </row>
    <row r="303" spans="1:26" x14ac:dyDescent="0.35">
      <c r="A303" t="s">
        <v>526</v>
      </c>
      <c r="B303" s="2">
        <v>45825</v>
      </c>
      <c r="C303">
        <v>2025</v>
      </c>
      <c r="D303">
        <v>6</v>
      </c>
      <c r="E303" t="s">
        <v>83</v>
      </c>
      <c r="F303" t="s">
        <v>535</v>
      </c>
      <c r="G303" t="s">
        <v>359</v>
      </c>
      <c r="H303" t="s">
        <v>360</v>
      </c>
      <c r="I303" t="s">
        <v>71</v>
      </c>
      <c r="J303" t="s">
        <v>43</v>
      </c>
      <c r="K303" t="s">
        <v>108</v>
      </c>
      <c r="L303">
        <v>903.69</v>
      </c>
      <c r="M303" t="s">
        <v>45</v>
      </c>
      <c r="N303" t="s">
        <v>116</v>
      </c>
      <c r="O303" t="s">
        <v>57</v>
      </c>
      <c r="P303" t="s">
        <v>209</v>
      </c>
      <c r="Q303">
        <v>1</v>
      </c>
      <c r="R303">
        <v>800</v>
      </c>
      <c r="S303">
        <v>103.69</v>
      </c>
      <c r="T303">
        <v>0</v>
      </c>
      <c r="U303">
        <v>0</v>
      </c>
      <c r="V303" t="s">
        <v>48</v>
      </c>
      <c r="W303">
        <v>0</v>
      </c>
      <c r="X303">
        <v>0</v>
      </c>
      <c r="Y303" t="s">
        <v>67</v>
      </c>
      <c r="Z303" t="s">
        <v>32</v>
      </c>
    </row>
  </sheetData>
  <phoneticPr fontId="3"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79998168889431442"/>
  </sheetPr>
  <dimension ref="A1:H25"/>
  <sheetViews>
    <sheetView tabSelected="1" zoomScale="70" zoomScaleNormal="70" workbookViewId="0">
      <selection activeCell="AC10" sqref="AC10"/>
    </sheetView>
  </sheetViews>
  <sheetFormatPr defaultRowHeight="14.5" x14ac:dyDescent="0.35"/>
  <cols>
    <col min="1" max="1" width="13.36328125" bestFit="1" customWidth="1"/>
    <col min="2" max="2" width="11.453125" bestFit="1" customWidth="1"/>
    <col min="3" max="3" width="14.08984375" bestFit="1" customWidth="1"/>
    <col min="4" max="4" width="14.7265625" bestFit="1" customWidth="1"/>
    <col min="5" max="5" width="9.1796875" bestFit="1" customWidth="1"/>
    <col min="6" max="6" width="13.08984375" bestFit="1" customWidth="1"/>
    <col min="7" max="7" width="12.6328125" bestFit="1" customWidth="1"/>
    <col min="8" max="8" width="15.453125" customWidth="1"/>
    <col min="9" max="12" width="6.1796875" bestFit="1" customWidth="1"/>
    <col min="13" max="13" width="5.1796875" bestFit="1" customWidth="1"/>
    <col min="14" max="20" width="6.1796875" bestFit="1" customWidth="1"/>
    <col min="21" max="21" width="5.1796875" bestFit="1" customWidth="1"/>
    <col min="22" max="30" width="6.1796875" bestFit="1" customWidth="1"/>
    <col min="31" max="31" width="5.1796875" bestFit="1" customWidth="1"/>
    <col min="32" max="48" width="6.1796875" bestFit="1" customWidth="1"/>
    <col min="49" max="49" width="5.1796875" bestFit="1" customWidth="1"/>
    <col min="50" max="56" width="6.1796875" bestFit="1" customWidth="1"/>
    <col min="57" max="57" width="5.1796875" bestFit="1" customWidth="1"/>
    <col min="58" max="63" width="6.1796875" bestFit="1" customWidth="1"/>
    <col min="64" max="64" width="5.1796875" bestFit="1" customWidth="1"/>
    <col min="65" max="69" width="6.1796875" bestFit="1" customWidth="1"/>
    <col min="70" max="70" width="5.1796875" bestFit="1" customWidth="1"/>
    <col min="71" max="74" width="6.1796875" bestFit="1" customWidth="1"/>
    <col min="75" max="75" width="5.1796875" bestFit="1" customWidth="1"/>
    <col min="76" max="83" width="6.1796875" bestFit="1" customWidth="1"/>
    <col min="84" max="84" width="5.1796875" bestFit="1" customWidth="1"/>
    <col min="85" max="87" width="6.1796875" bestFit="1" customWidth="1"/>
    <col min="88" max="88" width="5.1796875" bestFit="1" customWidth="1"/>
    <col min="89" max="105" width="6.1796875" bestFit="1" customWidth="1"/>
    <col min="106" max="106" width="5.1796875" bestFit="1" customWidth="1"/>
    <col min="107" max="112" width="6.1796875" bestFit="1" customWidth="1"/>
    <col min="113" max="113" width="3.08984375" bestFit="1" customWidth="1"/>
    <col min="114" max="116" width="6.1796875" bestFit="1" customWidth="1"/>
    <col min="117" max="117" width="5.1796875" bestFit="1" customWidth="1"/>
    <col min="118" max="131" width="6.1796875" bestFit="1" customWidth="1"/>
    <col min="132" max="132" width="5.1796875" bestFit="1" customWidth="1"/>
    <col min="133" max="134" width="6.1796875" bestFit="1" customWidth="1"/>
    <col min="135" max="135" width="5.1796875" bestFit="1" customWidth="1"/>
    <col min="136" max="139" width="6.1796875" bestFit="1" customWidth="1"/>
    <col min="140" max="140" width="5.1796875" bestFit="1" customWidth="1"/>
    <col min="141" max="144" width="6.1796875" bestFit="1" customWidth="1"/>
    <col min="145" max="145" width="5.1796875" bestFit="1" customWidth="1"/>
    <col min="146" max="150" width="6.1796875" bestFit="1" customWidth="1"/>
    <col min="151" max="151" width="5.1796875" bestFit="1" customWidth="1"/>
    <col min="152" max="157" width="6.1796875" bestFit="1" customWidth="1"/>
    <col min="158" max="158" width="5.1796875" bestFit="1" customWidth="1"/>
    <col min="159" max="171" width="6.1796875" bestFit="1" customWidth="1"/>
    <col min="172" max="178" width="7.1796875" bestFit="1" customWidth="1"/>
    <col min="179" max="179" width="6.1796875" bestFit="1" customWidth="1"/>
    <col min="180" max="187" width="7.1796875" bestFit="1" customWidth="1"/>
    <col min="188" max="188" width="6.1796875" bestFit="1" customWidth="1"/>
    <col min="189" max="194" width="7.1796875" bestFit="1" customWidth="1"/>
    <col min="195" max="195" width="6.1796875" bestFit="1" customWidth="1"/>
    <col min="196" max="196" width="7.1796875" bestFit="1" customWidth="1"/>
    <col min="197" max="197" width="6.1796875" bestFit="1" customWidth="1"/>
    <col min="198" max="204" width="7.1796875" bestFit="1" customWidth="1"/>
    <col min="205" max="205" width="6.1796875" bestFit="1" customWidth="1"/>
    <col min="206" max="210" width="7.1796875" bestFit="1" customWidth="1"/>
    <col min="211" max="211" width="6.1796875" bestFit="1" customWidth="1"/>
    <col min="212" max="217" width="7.1796875" bestFit="1" customWidth="1"/>
    <col min="218" max="218" width="6.1796875" bestFit="1" customWidth="1"/>
    <col min="219" max="244" width="7.1796875" bestFit="1" customWidth="1"/>
    <col min="245" max="245" width="4.08984375" bestFit="1" customWidth="1"/>
    <col min="246" max="272" width="7.1796875" bestFit="1" customWidth="1"/>
    <col min="273" max="273" width="6.1796875" bestFit="1" customWidth="1"/>
    <col min="274" max="277" width="7.1796875" bestFit="1" customWidth="1"/>
    <col min="278" max="278" width="6.1796875" bestFit="1" customWidth="1"/>
    <col min="279" max="280" width="7.1796875" bestFit="1" customWidth="1"/>
    <col min="281" max="281" width="6.1796875" bestFit="1" customWidth="1"/>
    <col min="282" max="293" width="7.1796875" bestFit="1" customWidth="1"/>
    <col min="294" max="294" width="6.1796875" bestFit="1" customWidth="1"/>
    <col min="295" max="301" width="8.26953125" bestFit="1" customWidth="1"/>
    <col min="302" max="302" width="10.7265625" bestFit="1" customWidth="1"/>
    <col min="303" max="303" width="7.08984375" bestFit="1" customWidth="1"/>
    <col min="304" max="304" width="10.7265625" bestFit="1" customWidth="1"/>
  </cols>
  <sheetData>
    <row r="1" spans="1:8" s="13" customFormat="1" ht="26" x14ac:dyDescent="0.6">
      <c r="A1" s="12" t="s">
        <v>0</v>
      </c>
    </row>
    <row r="3" spans="1:8" x14ac:dyDescent="0.35">
      <c r="A3" s="1" t="s">
        <v>1</v>
      </c>
      <c r="B3" s="1" t="s">
        <v>2</v>
      </c>
      <c r="C3" s="1" t="s">
        <v>3</v>
      </c>
      <c r="D3" s="1" t="s">
        <v>4</v>
      </c>
      <c r="E3" s="1" t="s">
        <v>5</v>
      </c>
    </row>
    <row r="4" spans="1:8" x14ac:dyDescent="0.35">
      <c r="A4" t="s">
        <v>6</v>
      </c>
      <c r="B4">
        <v>302</v>
      </c>
      <c r="C4">
        <f>ROWS(TE_Audit[Transaction ID])</f>
        <v>302</v>
      </c>
      <c r="D4" s="3">
        <f>B4-C4</f>
        <v>0</v>
      </c>
      <c r="E4" t="str">
        <f>IF(D4=0,"OK","Check")</f>
        <v>OK</v>
      </c>
    </row>
    <row r="5" spans="1:8" x14ac:dyDescent="0.35">
      <c r="A5" t="s">
        <v>7</v>
      </c>
      <c r="B5">
        <v>66087.72</v>
      </c>
      <c r="C5" s="6">
        <f>SUM(TE_Audit[Amount])</f>
        <v>66087.72</v>
      </c>
      <c r="D5" s="3">
        <f t="shared" ref="D5:D11" si="0">B5-C5</f>
        <v>0</v>
      </c>
      <c r="E5" t="str">
        <f t="shared" ref="E5:E11" si="1">IF(D5=0,"OK","Check")</f>
        <v>OK</v>
      </c>
    </row>
    <row r="6" spans="1:8" x14ac:dyDescent="0.35">
      <c r="A6" t="s">
        <v>8</v>
      </c>
      <c r="B6">
        <v>84</v>
      </c>
      <c r="C6">
        <f>SUMIF(TE_Audit[Policy Violation],1)</f>
        <v>84</v>
      </c>
      <c r="D6" s="3">
        <f t="shared" si="0"/>
        <v>0</v>
      </c>
      <c r="E6" t="str">
        <f t="shared" si="1"/>
        <v>OK</v>
      </c>
    </row>
    <row r="7" spans="1:8" x14ac:dyDescent="0.35">
      <c r="A7" t="s">
        <v>9</v>
      </c>
      <c r="B7">
        <v>5679.8099999999986</v>
      </c>
      <c r="C7" s="6">
        <f>SUM(TE_Audit[Excess Amount])</f>
        <v>5679.8099999999986</v>
      </c>
      <c r="D7" s="3">
        <f t="shared" si="0"/>
        <v>0</v>
      </c>
      <c r="E7" t="str">
        <f t="shared" si="1"/>
        <v>OK</v>
      </c>
    </row>
    <row r="8" spans="1:8" x14ac:dyDescent="0.35">
      <c r="A8" t="s">
        <v>10</v>
      </c>
      <c r="B8">
        <v>38</v>
      </c>
      <c r="C8">
        <f>SUMIF(TE_Audit[Missing Receipt],1)</f>
        <v>38</v>
      </c>
      <c r="D8" s="3">
        <f t="shared" si="0"/>
        <v>0</v>
      </c>
      <c r="E8" t="str">
        <f t="shared" si="1"/>
        <v>OK</v>
      </c>
    </row>
    <row r="9" spans="1:8" x14ac:dyDescent="0.35">
      <c r="A9" t="s">
        <v>11</v>
      </c>
      <c r="B9">
        <v>6784.04</v>
      </c>
      <c r="C9" s="6">
        <f>SUMIFS(TE_Audit[Amount],TE_Audit[Missing Receipt],1)</f>
        <v>6784.04</v>
      </c>
      <c r="D9" s="3">
        <f t="shared" si="0"/>
        <v>0</v>
      </c>
      <c r="E9" t="str">
        <f t="shared" si="1"/>
        <v>OK</v>
      </c>
    </row>
    <row r="10" spans="1:8" x14ac:dyDescent="0.35">
      <c r="A10" t="s">
        <v>12</v>
      </c>
      <c r="B10">
        <v>69</v>
      </c>
      <c r="C10">
        <f>SUMIF(TE_Audit[Personal Card Flag],1)</f>
        <v>69</v>
      </c>
      <c r="D10" s="3">
        <f t="shared" si="0"/>
        <v>0</v>
      </c>
      <c r="E10" t="str">
        <f t="shared" si="1"/>
        <v>OK</v>
      </c>
    </row>
    <row r="11" spans="1:8" x14ac:dyDescent="0.35">
      <c r="A11" t="s">
        <v>13</v>
      </c>
      <c r="B11">
        <v>14483.939999999999</v>
      </c>
      <c r="C11" s="6">
        <f>SUMIFS(TE_Audit[Amount],TE_Audit[Personal Card Flag],1)</f>
        <v>14483.939999999999</v>
      </c>
      <c r="D11" s="3">
        <f t="shared" si="0"/>
        <v>0</v>
      </c>
      <c r="E11" t="str">
        <f t="shared" si="1"/>
        <v>OK</v>
      </c>
    </row>
    <row r="12" spans="1:8" x14ac:dyDescent="0.35">
      <c r="C12" s="6"/>
      <c r="D12" s="3"/>
    </row>
    <row r="13" spans="1:8" x14ac:dyDescent="0.35">
      <c r="C13" s="6"/>
      <c r="D13" s="3"/>
    </row>
    <row r="16" spans="1:8" x14ac:dyDescent="0.35">
      <c r="H16" s="7"/>
    </row>
    <row r="17" spans="1:8" x14ac:dyDescent="0.35">
      <c r="A17" s="4" t="s">
        <v>24</v>
      </c>
      <c r="B17" t="s">
        <v>528</v>
      </c>
      <c r="C17" t="s">
        <v>7</v>
      </c>
      <c r="D17" t="s">
        <v>529</v>
      </c>
      <c r="E17" t="s">
        <v>530</v>
      </c>
      <c r="F17" t="s">
        <v>9</v>
      </c>
      <c r="G17" t="s">
        <v>543</v>
      </c>
      <c r="H17" s="7"/>
    </row>
    <row r="18" spans="1:8" x14ac:dyDescent="0.35">
      <c r="A18" s="5" t="s">
        <v>108</v>
      </c>
      <c r="B18">
        <v>63</v>
      </c>
      <c r="C18" s="6">
        <v>44222.74000000002</v>
      </c>
      <c r="D18" s="6">
        <v>701.94825396825433</v>
      </c>
      <c r="E18">
        <v>25</v>
      </c>
      <c r="F18" s="6">
        <v>4500.4599999999991</v>
      </c>
      <c r="G18" s="9">
        <v>0.3968253968253968</v>
      </c>
      <c r="H18" s="7"/>
    </row>
    <row r="19" spans="1:8" x14ac:dyDescent="0.35">
      <c r="A19" s="5" t="s">
        <v>64</v>
      </c>
      <c r="B19">
        <v>22</v>
      </c>
      <c r="C19" s="6">
        <v>455.23</v>
      </c>
      <c r="D19" s="6">
        <v>20.692272727272726</v>
      </c>
      <c r="E19">
        <v>3</v>
      </c>
      <c r="F19" s="6">
        <v>17.79</v>
      </c>
      <c r="G19" s="9">
        <v>0.13636363636363635</v>
      </c>
      <c r="H19" s="7"/>
    </row>
    <row r="20" spans="1:8" x14ac:dyDescent="0.35">
      <c r="A20" s="5" t="s">
        <v>81</v>
      </c>
      <c r="B20">
        <v>60</v>
      </c>
      <c r="C20" s="6">
        <v>3565.61</v>
      </c>
      <c r="D20" s="6">
        <v>59.426833333333335</v>
      </c>
      <c r="E20">
        <v>15</v>
      </c>
      <c r="F20" s="6">
        <v>179.41</v>
      </c>
      <c r="G20" s="9">
        <v>0.25</v>
      </c>
      <c r="H20" s="7"/>
    </row>
    <row r="21" spans="1:8" x14ac:dyDescent="0.35">
      <c r="A21" s="5" t="s">
        <v>55</v>
      </c>
      <c r="B21">
        <v>45</v>
      </c>
      <c r="C21" s="6">
        <v>10777.5</v>
      </c>
      <c r="D21" s="6">
        <v>239.5</v>
      </c>
      <c r="E21">
        <v>12</v>
      </c>
      <c r="F21" s="6">
        <v>659.48</v>
      </c>
      <c r="G21" s="9">
        <v>0.26666666666666666</v>
      </c>
      <c r="H21" s="7"/>
    </row>
    <row r="22" spans="1:8" x14ac:dyDescent="0.35">
      <c r="A22" s="5" t="s">
        <v>87</v>
      </c>
      <c r="B22">
        <v>54</v>
      </c>
      <c r="C22" s="6">
        <v>2076.37</v>
      </c>
      <c r="D22" s="6">
        <v>38.451296296296292</v>
      </c>
      <c r="E22">
        <v>17</v>
      </c>
      <c r="F22" s="6">
        <v>116.04</v>
      </c>
      <c r="G22" s="9">
        <v>0.31481481481481483</v>
      </c>
      <c r="H22" s="7"/>
    </row>
    <row r="23" spans="1:8" x14ac:dyDescent="0.35">
      <c r="A23" s="5" t="s">
        <v>72</v>
      </c>
      <c r="B23">
        <v>30</v>
      </c>
      <c r="C23" s="6">
        <v>1518.7700000000002</v>
      </c>
      <c r="D23" s="6">
        <v>50.625666666666675</v>
      </c>
      <c r="E23">
        <v>4</v>
      </c>
      <c r="F23" s="6">
        <v>45.230000000000004</v>
      </c>
      <c r="G23" s="9">
        <v>0.13333333333333333</v>
      </c>
      <c r="H23" s="8"/>
    </row>
    <row r="24" spans="1:8" x14ac:dyDescent="0.35">
      <c r="A24" s="5" t="s">
        <v>44</v>
      </c>
      <c r="B24">
        <v>28</v>
      </c>
      <c r="C24" s="6">
        <v>3471.4999999999991</v>
      </c>
      <c r="D24" s="6">
        <v>123.98214285714282</v>
      </c>
      <c r="E24">
        <v>8</v>
      </c>
      <c r="F24" s="6">
        <v>161.4</v>
      </c>
      <c r="G24" s="9">
        <v>0.2857142857142857</v>
      </c>
    </row>
    <row r="25" spans="1:8" x14ac:dyDescent="0.35">
      <c r="A25" s="5" t="s">
        <v>527</v>
      </c>
      <c r="B25">
        <v>302</v>
      </c>
      <c r="C25" s="6">
        <v>66087.72</v>
      </c>
      <c r="D25" s="6">
        <v>218.83350993377485</v>
      </c>
      <c r="E25">
        <v>84</v>
      </c>
      <c r="F25" s="6">
        <v>5679.8099999999986</v>
      </c>
      <c r="G25" s="9">
        <v>0.27814569536423839</v>
      </c>
    </row>
  </sheetData>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46DA-CC40-4E45-88B1-5F101DA41C7E}">
  <sheetPr>
    <tabColor theme="5" tint="0.79998168889431442"/>
  </sheetPr>
  <dimension ref="A1:H50"/>
  <sheetViews>
    <sheetView zoomScaleNormal="100" workbookViewId="0">
      <selection activeCell="N29" sqref="N29"/>
    </sheetView>
  </sheetViews>
  <sheetFormatPr defaultRowHeight="14.5" x14ac:dyDescent="0.35"/>
  <cols>
    <col min="1" max="1" width="14.1796875" bestFit="1" customWidth="1"/>
    <col min="2" max="2" width="11.453125" bestFit="1" customWidth="1"/>
    <col min="3" max="3" width="14.08984375" bestFit="1" customWidth="1"/>
    <col min="4" max="4" width="20.453125" bestFit="1" customWidth="1"/>
    <col min="5" max="5" width="11.1796875" bestFit="1" customWidth="1"/>
    <col min="6" max="6" width="14.6328125" bestFit="1" customWidth="1"/>
    <col min="7" max="7" width="13.1796875" bestFit="1" customWidth="1"/>
    <col min="8" max="8" width="11.453125" bestFit="1" customWidth="1"/>
    <col min="9" max="10" width="11.1796875" bestFit="1" customWidth="1"/>
    <col min="11" max="11" width="11.453125" bestFit="1" customWidth="1"/>
  </cols>
  <sheetData>
    <row r="1" spans="1:8" s="15" customFormat="1" ht="26" x14ac:dyDescent="0.6">
      <c r="A1" s="14" t="s">
        <v>558</v>
      </c>
    </row>
    <row r="3" spans="1:8" x14ac:dyDescent="0.35">
      <c r="A3" s="4" t="s">
        <v>24</v>
      </c>
      <c r="B3" t="s">
        <v>528</v>
      </c>
      <c r="C3" t="s">
        <v>7</v>
      </c>
      <c r="D3" t="s">
        <v>546</v>
      </c>
      <c r="E3" t="s">
        <v>544</v>
      </c>
      <c r="G3" s="4" t="s">
        <v>24</v>
      </c>
      <c r="H3" t="s">
        <v>7</v>
      </c>
    </row>
    <row r="4" spans="1:8" x14ac:dyDescent="0.35">
      <c r="A4" s="5" t="s">
        <v>108</v>
      </c>
      <c r="B4">
        <v>63</v>
      </c>
      <c r="C4" s="6">
        <v>44222.74000000002</v>
      </c>
      <c r="D4" s="6">
        <v>701.94825396825433</v>
      </c>
      <c r="E4" s="9">
        <v>0.66915215111067561</v>
      </c>
      <c r="G4" s="5" t="s">
        <v>108</v>
      </c>
      <c r="H4" s="11">
        <v>44222.74000000002</v>
      </c>
    </row>
    <row r="5" spans="1:8" x14ac:dyDescent="0.35">
      <c r="A5" s="5" t="s">
        <v>55</v>
      </c>
      <c r="B5">
        <v>45</v>
      </c>
      <c r="C5" s="6">
        <v>10777.5</v>
      </c>
      <c r="D5" s="6">
        <v>239.5</v>
      </c>
      <c r="E5" s="9">
        <v>0.1630787081170299</v>
      </c>
      <c r="G5" s="5" t="s">
        <v>55</v>
      </c>
      <c r="H5" s="11">
        <v>10777.5</v>
      </c>
    </row>
    <row r="6" spans="1:8" x14ac:dyDescent="0.35">
      <c r="A6" s="5" t="s">
        <v>81</v>
      </c>
      <c r="B6">
        <v>60</v>
      </c>
      <c r="C6" s="6">
        <v>3565.61</v>
      </c>
      <c r="D6" s="6">
        <v>59.426833333333335</v>
      </c>
      <c r="E6" s="9">
        <v>5.3952685915023245E-2</v>
      </c>
      <c r="G6" s="5" t="s">
        <v>81</v>
      </c>
      <c r="H6" s="11">
        <v>3565.61</v>
      </c>
    </row>
    <row r="7" spans="1:8" x14ac:dyDescent="0.35">
      <c r="A7" s="5" t="s">
        <v>44</v>
      </c>
      <c r="B7">
        <v>28</v>
      </c>
      <c r="C7" s="6">
        <v>3471.4999999999991</v>
      </c>
      <c r="D7" s="6">
        <v>123.98214285714282</v>
      </c>
      <c r="E7" s="9">
        <v>5.2528669471423727E-2</v>
      </c>
      <c r="G7" s="5" t="s">
        <v>44</v>
      </c>
      <c r="H7" s="11">
        <v>3471.4999999999991</v>
      </c>
    </row>
    <row r="8" spans="1:8" x14ac:dyDescent="0.35">
      <c r="A8" s="5" t="s">
        <v>87</v>
      </c>
      <c r="B8">
        <v>54</v>
      </c>
      <c r="C8" s="6">
        <v>2076.37</v>
      </c>
      <c r="D8" s="6">
        <v>38.451296296296292</v>
      </c>
      <c r="E8" s="9">
        <v>3.1418393613821143E-2</v>
      </c>
      <c r="G8" s="5" t="s">
        <v>87</v>
      </c>
      <c r="H8" s="11">
        <v>2076.37</v>
      </c>
    </row>
    <row r="9" spans="1:8" x14ac:dyDescent="0.35">
      <c r="A9" s="5" t="s">
        <v>72</v>
      </c>
      <c r="B9">
        <v>30</v>
      </c>
      <c r="C9" s="6">
        <v>1518.7700000000002</v>
      </c>
      <c r="D9" s="6">
        <v>50.625666666666675</v>
      </c>
      <c r="E9" s="9">
        <v>2.2981122665451315E-2</v>
      </c>
      <c r="G9" s="5" t="s">
        <v>72</v>
      </c>
      <c r="H9" s="11">
        <v>1518.7700000000002</v>
      </c>
    </row>
    <row r="10" spans="1:8" x14ac:dyDescent="0.35">
      <c r="A10" s="5" t="s">
        <v>64</v>
      </c>
      <c r="B10">
        <v>22</v>
      </c>
      <c r="C10" s="6">
        <v>455.23</v>
      </c>
      <c r="D10" s="6">
        <v>20.692272727272726</v>
      </c>
      <c r="E10" s="9">
        <v>6.8882691065753213E-3</v>
      </c>
      <c r="G10" s="5" t="s">
        <v>64</v>
      </c>
      <c r="H10" s="11">
        <v>455.23</v>
      </c>
    </row>
    <row r="11" spans="1:8" x14ac:dyDescent="0.35">
      <c r="A11" s="5" t="s">
        <v>527</v>
      </c>
      <c r="B11">
        <v>302</v>
      </c>
      <c r="C11" s="6">
        <v>66087.72</v>
      </c>
      <c r="D11" s="6">
        <v>218.83350993377485</v>
      </c>
      <c r="E11" s="9">
        <v>1</v>
      </c>
      <c r="G11" s="5" t="s">
        <v>527</v>
      </c>
      <c r="H11" s="11">
        <v>66087.720000000016</v>
      </c>
    </row>
    <row r="15" spans="1:8" x14ac:dyDescent="0.35">
      <c r="A15" s="4" t="s">
        <v>28</v>
      </c>
      <c r="B15" t="s">
        <v>528</v>
      </c>
      <c r="C15" t="s">
        <v>7</v>
      </c>
      <c r="D15" t="s">
        <v>546</v>
      </c>
      <c r="E15" t="s">
        <v>544</v>
      </c>
    </row>
    <row r="16" spans="1:8" x14ac:dyDescent="0.35">
      <c r="A16" s="5" t="s">
        <v>57</v>
      </c>
      <c r="B16">
        <v>76</v>
      </c>
      <c r="C16" s="6">
        <v>24522.37</v>
      </c>
      <c r="D16" s="6">
        <v>322.66276315789474</v>
      </c>
      <c r="E16" s="9">
        <v>0.37105789093647046</v>
      </c>
    </row>
    <row r="17" spans="1:5" x14ac:dyDescent="0.35">
      <c r="A17" s="5" t="s">
        <v>66</v>
      </c>
      <c r="B17">
        <v>69</v>
      </c>
      <c r="C17" s="6">
        <v>14226.06</v>
      </c>
      <c r="D17" s="6">
        <v>206.17478260869564</v>
      </c>
      <c r="E17" s="9">
        <v>0.21526026317748592</v>
      </c>
    </row>
    <row r="18" spans="1:5" x14ac:dyDescent="0.35">
      <c r="A18" s="5" t="s">
        <v>110</v>
      </c>
      <c r="B18">
        <v>44</v>
      </c>
      <c r="C18" s="6">
        <v>11720.629999999997</v>
      </c>
      <c r="D18" s="6">
        <v>266.37795454545449</v>
      </c>
      <c r="E18" s="9">
        <v>0.17734958930342878</v>
      </c>
    </row>
    <row r="19" spans="1:5" x14ac:dyDescent="0.35">
      <c r="A19" s="5" t="s">
        <v>47</v>
      </c>
      <c r="B19">
        <v>58</v>
      </c>
      <c r="C19" s="6">
        <v>9757.0500000000029</v>
      </c>
      <c r="D19" s="6">
        <v>168.22500000000005</v>
      </c>
      <c r="E19" s="9">
        <v>0.14763786676253929</v>
      </c>
    </row>
    <row r="20" spans="1:5" x14ac:dyDescent="0.35">
      <c r="A20" s="5" t="s">
        <v>105</v>
      </c>
      <c r="B20">
        <v>21</v>
      </c>
      <c r="C20" s="6">
        <v>4101.97</v>
      </c>
      <c r="D20" s="6">
        <v>195.33190476190478</v>
      </c>
      <c r="E20" s="9">
        <v>6.2068565839463068E-2</v>
      </c>
    </row>
    <row r="21" spans="1:5" x14ac:dyDescent="0.35">
      <c r="A21" s="5" t="s">
        <v>100</v>
      </c>
      <c r="B21">
        <v>34</v>
      </c>
      <c r="C21" s="6">
        <v>1759.64</v>
      </c>
      <c r="D21" s="6">
        <v>51.754117647058827</v>
      </c>
      <c r="E21" s="9">
        <v>2.6625823980612435E-2</v>
      </c>
    </row>
    <row r="22" spans="1:5" x14ac:dyDescent="0.35">
      <c r="A22" s="5" t="s">
        <v>527</v>
      </c>
      <c r="B22">
        <v>302</v>
      </c>
      <c r="C22" s="6">
        <v>66087.72</v>
      </c>
      <c r="D22" s="6">
        <v>218.83350993377485</v>
      </c>
      <c r="E22" s="9">
        <v>1</v>
      </c>
    </row>
    <row r="26" spans="1:5" x14ac:dyDescent="0.35">
      <c r="A26" s="4" t="s">
        <v>545</v>
      </c>
      <c r="B26" t="s">
        <v>528</v>
      </c>
      <c r="C26" t="s">
        <v>7</v>
      </c>
      <c r="D26" t="s">
        <v>546</v>
      </c>
      <c r="E26" t="s">
        <v>544</v>
      </c>
    </row>
    <row r="27" spans="1:5" x14ac:dyDescent="0.35">
      <c r="A27" s="5" t="s">
        <v>63</v>
      </c>
      <c r="B27">
        <v>101</v>
      </c>
      <c r="C27" s="6">
        <v>21719.51</v>
      </c>
      <c r="D27" s="6">
        <v>215.04465346534653</v>
      </c>
      <c r="E27" s="9">
        <v>0.32864668352910331</v>
      </c>
    </row>
    <row r="28" spans="1:5" x14ac:dyDescent="0.35">
      <c r="A28" s="5" t="s">
        <v>93</v>
      </c>
      <c r="B28">
        <v>66</v>
      </c>
      <c r="C28" s="6">
        <v>16878.600000000002</v>
      </c>
      <c r="D28" s="6">
        <v>255.73636363636368</v>
      </c>
      <c r="E28" s="9">
        <v>0.25539691791455355</v>
      </c>
    </row>
    <row r="29" spans="1:5" x14ac:dyDescent="0.35">
      <c r="A29" s="5" t="s">
        <v>42</v>
      </c>
      <c r="B29">
        <v>48</v>
      </c>
      <c r="C29" s="6">
        <v>9813.8700000000026</v>
      </c>
      <c r="D29" s="6">
        <v>204.45562500000005</v>
      </c>
      <c r="E29" s="9">
        <v>0.14849763314576445</v>
      </c>
    </row>
    <row r="30" spans="1:5" x14ac:dyDescent="0.35">
      <c r="A30" s="5" t="s">
        <v>71</v>
      </c>
      <c r="B30">
        <v>37</v>
      </c>
      <c r="C30" s="6">
        <v>8984.07</v>
      </c>
      <c r="D30" s="6">
        <v>242.81270270270269</v>
      </c>
      <c r="E30" s="9">
        <v>0.13594159399053254</v>
      </c>
    </row>
    <row r="31" spans="1:5" x14ac:dyDescent="0.35">
      <c r="A31" s="5" t="s">
        <v>86</v>
      </c>
      <c r="B31">
        <v>34</v>
      </c>
      <c r="C31" s="6">
        <v>6523.39</v>
      </c>
      <c r="D31" s="6">
        <v>191.86441176470589</v>
      </c>
      <c r="E31" s="9">
        <v>9.870805045173292E-2</v>
      </c>
    </row>
    <row r="32" spans="1:5" x14ac:dyDescent="0.35">
      <c r="A32" s="5" t="s">
        <v>80</v>
      </c>
      <c r="B32">
        <v>16</v>
      </c>
      <c r="C32" s="6">
        <v>2168.2799999999997</v>
      </c>
      <c r="D32" s="6">
        <v>135.51749999999998</v>
      </c>
      <c r="E32" s="9">
        <v>3.280912096831301E-2</v>
      </c>
    </row>
    <row r="33" spans="1:8" x14ac:dyDescent="0.35">
      <c r="A33" s="5" t="s">
        <v>527</v>
      </c>
      <c r="B33">
        <v>302</v>
      </c>
      <c r="C33" s="6">
        <v>66087.720000000016</v>
      </c>
      <c r="D33" s="6">
        <v>218.83350993377488</v>
      </c>
      <c r="E33" s="9">
        <v>1</v>
      </c>
    </row>
    <row r="37" spans="1:8" x14ac:dyDescent="0.35">
      <c r="A37" s="4" t="s">
        <v>19</v>
      </c>
      <c r="B37" t="s">
        <v>528</v>
      </c>
      <c r="C37" t="s">
        <v>7</v>
      </c>
      <c r="D37" t="s">
        <v>546</v>
      </c>
      <c r="E37" t="s">
        <v>544</v>
      </c>
      <c r="G37" s="4" t="s">
        <v>19</v>
      </c>
      <c r="H37" t="s">
        <v>7</v>
      </c>
    </row>
    <row r="38" spans="1:8" x14ac:dyDescent="0.35">
      <c r="A38" s="5" t="s">
        <v>542</v>
      </c>
      <c r="B38">
        <v>19</v>
      </c>
      <c r="C38" s="6">
        <v>6069.4800000000005</v>
      </c>
      <c r="D38" s="6">
        <v>319.44631578947372</v>
      </c>
      <c r="E38" s="9">
        <v>9.183975479862222E-2</v>
      </c>
      <c r="G38" s="10" t="s">
        <v>542</v>
      </c>
      <c r="H38" s="11">
        <v>6069.4800000000005</v>
      </c>
    </row>
    <row r="39" spans="1:8" x14ac:dyDescent="0.35">
      <c r="A39" s="5" t="s">
        <v>532</v>
      </c>
      <c r="B39">
        <v>19</v>
      </c>
      <c r="C39" s="6">
        <v>5459.62</v>
      </c>
      <c r="D39" s="6">
        <v>287.34842105263158</v>
      </c>
      <c r="E39" s="9">
        <v>8.26117166699048E-2</v>
      </c>
      <c r="G39" s="10" t="s">
        <v>532</v>
      </c>
      <c r="H39" s="11">
        <v>5459.62</v>
      </c>
    </row>
    <row r="40" spans="1:8" x14ac:dyDescent="0.35">
      <c r="A40" s="5" t="s">
        <v>541</v>
      </c>
      <c r="B40">
        <v>34</v>
      </c>
      <c r="C40" s="6">
        <v>6239.97</v>
      </c>
      <c r="D40" s="6">
        <v>183.52852941176471</v>
      </c>
      <c r="E40" s="9">
        <v>9.4419507890422028E-2</v>
      </c>
      <c r="G40" s="10" t="s">
        <v>541</v>
      </c>
      <c r="H40" s="11">
        <v>6239.97</v>
      </c>
    </row>
    <row r="41" spans="1:8" x14ac:dyDescent="0.35">
      <c r="A41" s="5" t="s">
        <v>534</v>
      </c>
      <c r="B41">
        <v>26</v>
      </c>
      <c r="C41" s="6">
        <v>4851</v>
      </c>
      <c r="D41" s="6">
        <v>186.57692307692307</v>
      </c>
      <c r="E41" s="9">
        <v>7.3402441482320779E-2</v>
      </c>
      <c r="G41" s="10" t="s">
        <v>534</v>
      </c>
      <c r="H41" s="11">
        <v>4851</v>
      </c>
    </row>
    <row r="42" spans="1:8" x14ac:dyDescent="0.35">
      <c r="A42" s="5" t="s">
        <v>538</v>
      </c>
      <c r="B42">
        <v>29</v>
      </c>
      <c r="C42" s="6">
        <v>5656.4800000000005</v>
      </c>
      <c r="D42" s="6">
        <v>195.05103448275864</v>
      </c>
      <c r="E42" s="9">
        <v>8.559048488887197E-2</v>
      </c>
      <c r="G42" s="10" t="s">
        <v>538</v>
      </c>
      <c r="H42" s="11">
        <v>5656.4800000000005</v>
      </c>
    </row>
    <row r="43" spans="1:8" x14ac:dyDescent="0.35">
      <c r="A43" s="5" t="s">
        <v>535</v>
      </c>
      <c r="B43">
        <v>21</v>
      </c>
      <c r="C43" s="6">
        <v>4302.76</v>
      </c>
      <c r="D43" s="6">
        <v>204.89333333333335</v>
      </c>
      <c r="E43" s="9">
        <v>6.5106800476699769E-2</v>
      </c>
      <c r="G43" s="10" t="s">
        <v>535</v>
      </c>
      <c r="H43" s="11">
        <v>4302.76</v>
      </c>
    </row>
    <row r="44" spans="1:8" x14ac:dyDescent="0.35">
      <c r="A44" s="5" t="s">
        <v>533</v>
      </c>
      <c r="B44">
        <v>29</v>
      </c>
      <c r="C44" s="6">
        <v>7832.03</v>
      </c>
      <c r="D44" s="6">
        <v>270.07</v>
      </c>
      <c r="E44" s="9">
        <v>0.11850961116528155</v>
      </c>
      <c r="G44" s="10" t="s">
        <v>533</v>
      </c>
      <c r="H44" s="11">
        <v>7832.03</v>
      </c>
    </row>
    <row r="45" spans="1:8" x14ac:dyDescent="0.35">
      <c r="A45" s="5" t="s">
        <v>536</v>
      </c>
      <c r="B45">
        <v>28</v>
      </c>
      <c r="C45" s="6">
        <v>7366.5499999999993</v>
      </c>
      <c r="D45" s="6">
        <v>263.09107142857141</v>
      </c>
      <c r="E45" s="9">
        <v>0.11146624516627296</v>
      </c>
      <c r="G45" s="10" t="s">
        <v>536</v>
      </c>
      <c r="H45" s="11">
        <v>7366.5499999999993</v>
      </c>
    </row>
    <row r="46" spans="1:8" x14ac:dyDescent="0.35">
      <c r="A46" s="5" t="s">
        <v>539</v>
      </c>
      <c r="B46">
        <v>27</v>
      </c>
      <c r="C46" s="6">
        <v>4521.6799999999994</v>
      </c>
      <c r="D46" s="6">
        <v>167.46962962962959</v>
      </c>
      <c r="E46" s="9">
        <v>6.8419367470991588E-2</v>
      </c>
      <c r="G46" s="10" t="s">
        <v>539</v>
      </c>
      <c r="H46" s="11">
        <v>4521.6799999999994</v>
      </c>
    </row>
    <row r="47" spans="1:8" x14ac:dyDescent="0.35">
      <c r="A47" s="5" t="s">
        <v>531</v>
      </c>
      <c r="B47">
        <v>27</v>
      </c>
      <c r="C47" s="6">
        <v>5696.0599999999995</v>
      </c>
      <c r="D47" s="6">
        <v>210.96518518518516</v>
      </c>
      <c r="E47" s="9">
        <v>8.6189385864726464E-2</v>
      </c>
      <c r="G47" s="10" t="s">
        <v>531</v>
      </c>
      <c r="H47" s="11">
        <v>5696.0599999999995</v>
      </c>
    </row>
    <row r="48" spans="1:8" x14ac:dyDescent="0.35">
      <c r="A48" s="5" t="s">
        <v>540</v>
      </c>
      <c r="B48">
        <v>28</v>
      </c>
      <c r="C48" s="6">
        <v>5229.6400000000003</v>
      </c>
      <c r="D48" s="6">
        <v>186.77285714285716</v>
      </c>
      <c r="E48" s="9">
        <v>7.9131796345826441E-2</v>
      </c>
      <c r="G48" s="10" t="s">
        <v>540</v>
      </c>
      <c r="H48" s="11">
        <v>5229.6400000000003</v>
      </c>
    </row>
    <row r="49" spans="1:8" x14ac:dyDescent="0.35">
      <c r="A49" s="5" t="s">
        <v>537</v>
      </c>
      <c r="B49">
        <v>15</v>
      </c>
      <c r="C49" s="6">
        <v>2862.45</v>
      </c>
      <c r="D49" s="6">
        <v>190.82999999999998</v>
      </c>
      <c r="E49" s="9">
        <v>4.3312887780059602E-2</v>
      </c>
      <c r="G49" s="10" t="s">
        <v>537</v>
      </c>
      <c r="H49" s="11">
        <v>2862.45</v>
      </c>
    </row>
    <row r="50" spans="1:8" x14ac:dyDescent="0.35">
      <c r="A50" s="10" t="s">
        <v>527</v>
      </c>
      <c r="B50">
        <v>302</v>
      </c>
      <c r="C50" s="6">
        <v>66087.719999999987</v>
      </c>
      <c r="D50" s="6">
        <v>218.83350993377479</v>
      </c>
      <c r="E50" s="9">
        <v>1</v>
      </c>
      <c r="G50" s="10" t="s">
        <v>527</v>
      </c>
      <c r="H50" s="11">
        <v>66087.72</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348A4-016A-431A-973B-C508EF3315BA}">
  <sheetPr>
    <tabColor theme="2" tint="-9.9978637043366805E-2"/>
  </sheetPr>
  <dimension ref="A1:M85"/>
  <sheetViews>
    <sheetView zoomScale="40" zoomScaleNormal="40" workbookViewId="0">
      <selection activeCell="C60" sqref="C60"/>
    </sheetView>
  </sheetViews>
  <sheetFormatPr defaultRowHeight="14.5" x14ac:dyDescent="0.35"/>
  <cols>
    <col min="1" max="1" width="14" bestFit="1" customWidth="1"/>
    <col min="2" max="2" width="11.54296875" bestFit="1" customWidth="1"/>
    <col min="3" max="3" width="14.26953125" bestFit="1" customWidth="1"/>
    <col min="4" max="4" width="18.90625" bestFit="1" customWidth="1"/>
    <col min="5" max="5" width="24.08984375" bestFit="1" customWidth="1"/>
    <col min="6" max="6" width="17" bestFit="1" customWidth="1"/>
    <col min="7" max="7" width="11.54296875" bestFit="1" customWidth="1"/>
    <col min="8" max="8" width="17" bestFit="1" customWidth="1"/>
    <col min="10" max="10" width="13.26953125" bestFit="1" customWidth="1"/>
    <col min="11" max="11" width="12.7265625" bestFit="1" customWidth="1"/>
    <col min="12" max="12" width="18.36328125" bestFit="1" customWidth="1"/>
    <col min="13" max="13" width="17" bestFit="1" customWidth="1"/>
    <col min="14" max="16" width="16.81640625" bestFit="1" customWidth="1"/>
  </cols>
  <sheetData>
    <row r="1" spans="1:6" s="17" customFormat="1" ht="26" x14ac:dyDescent="0.6">
      <c r="A1" s="16" t="s">
        <v>559</v>
      </c>
    </row>
    <row r="3" spans="1:6" x14ac:dyDescent="0.35">
      <c r="A3" s="4" t="s">
        <v>547</v>
      </c>
      <c r="B3" t="s">
        <v>528</v>
      </c>
      <c r="C3" t="s">
        <v>7</v>
      </c>
      <c r="D3" t="s">
        <v>548</v>
      </c>
      <c r="E3" t="s">
        <v>549</v>
      </c>
      <c r="F3" t="s">
        <v>9</v>
      </c>
    </row>
    <row r="4" spans="1:6" x14ac:dyDescent="0.35">
      <c r="A4" s="5" t="s">
        <v>93</v>
      </c>
      <c r="B4">
        <v>66</v>
      </c>
      <c r="C4" s="6">
        <v>16878.600000000002</v>
      </c>
      <c r="D4">
        <v>25</v>
      </c>
      <c r="E4" s="9">
        <v>0.37878787878787878</v>
      </c>
      <c r="F4" s="6">
        <v>1448.7000000000003</v>
      </c>
    </row>
    <row r="5" spans="1:6" x14ac:dyDescent="0.35">
      <c r="A5" s="5" t="s">
        <v>86</v>
      </c>
      <c r="B5">
        <v>34</v>
      </c>
      <c r="C5" s="6">
        <v>6523.39</v>
      </c>
      <c r="D5">
        <v>12</v>
      </c>
      <c r="E5" s="9">
        <v>0.35294117647058826</v>
      </c>
      <c r="F5" s="6">
        <v>370.79000000000008</v>
      </c>
    </row>
    <row r="6" spans="1:6" x14ac:dyDescent="0.35">
      <c r="A6" s="5" t="s">
        <v>42</v>
      </c>
      <c r="B6">
        <v>48</v>
      </c>
      <c r="C6" s="6">
        <v>9813.8700000000026</v>
      </c>
      <c r="D6">
        <v>16</v>
      </c>
      <c r="E6" s="9">
        <v>0.33333333333333331</v>
      </c>
      <c r="F6" s="6">
        <v>1313.3300000000002</v>
      </c>
    </row>
    <row r="7" spans="1:6" x14ac:dyDescent="0.35">
      <c r="A7" s="5" t="s">
        <v>71</v>
      </c>
      <c r="B7">
        <v>37</v>
      </c>
      <c r="C7" s="6">
        <v>8984.07</v>
      </c>
      <c r="D7">
        <v>11</v>
      </c>
      <c r="E7" s="9">
        <v>0.29729729729729731</v>
      </c>
      <c r="F7" s="6">
        <v>899.42000000000007</v>
      </c>
    </row>
    <row r="8" spans="1:6" x14ac:dyDescent="0.35">
      <c r="A8" s="5" t="s">
        <v>63</v>
      </c>
      <c r="B8">
        <v>101</v>
      </c>
      <c r="C8" s="6">
        <v>21719.51</v>
      </c>
      <c r="D8">
        <v>20</v>
      </c>
      <c r="E8" s="9">
        <v>0.19801980198019803</v>
      </c>
      <c r="F8" s="6">
        <v>1647.5700000000004</v>
      </c>
    </row>
    <row r="9" spans="1:6" x14ac:dyDescent="0.35">
      <c r="A9" s="5" t="s">
        <v>80</v>
      </c>
      <c r="B9">
        <v>16</v>
      </c>
      <c r="C9" s="6">
        <v>2168.2799999999997</v>
      </c>
      <c r="D9">
        <v>0</v>
      </c>
      <c r="E9" s="9">
        <v>0</v>
      </c>
      <c r="F9" s="6">
        <v>0</v>
      </c>
    </row>
    <row r="10" spans="1:6" x14ac:dyDescent="0.35">
      <c r="A10" s="5" t="s">
        <v>527</v>
      </c>
      <c r="B10">
        <v>302</v>
      </c>
      <c r="C10" s="6">
        <v>66087.720000000016</v>
      </c>
      <c r="D10">
        <v>84</v>
      </c>
      <c r="E10" s="9">
        <v>0.27814569536423839</v>
      </c>
      <c r="F10" s="6">
        <v>5679.8100000000013</v>
      </c>
    </row>
    <row r="14" spans="1:6" x14ac:dyDescent="0.35">
      <c r="A14" s="4" t="s">
        <v>24</v>
      </c>
      <c r="B14" t="s">
        <v>528</v>
      </c>
      <c r="C14" t="s">
        <v>7</v>
      </c>
      <c r="D14" t="s">
        <v>548</v>
      </c>
      <c r="E14" t="s">
        <v>549</v>
      </c>
      <c r="F14" t="s">
        <v>9</v>
      </c>
    </row>
    <row r="15" spans="1:6" x14ac:dyDescent="0.35">
      <c r="A15" s="5" t="s">
        <v>108</v>
      </c>
      <c r="B15">
        <v>63</v>
      </c>
      <c r="C15" s="6">
        <v>44222.74000000002</v>
      </c>
      <c r="D15">
        <v>25</v>
      </c>
      <c r="E15" s="9">
        <v>0.3968253968253968</v>
      </c>
      <c r="F15" s="6">
        <v>4500.4599999999991</v>
      </c>
    </row>
    <row r="16" spans="1:6" x14ac:dyDescent="0.35">
      <c r="A16" s="5" t="s">
        <v>87</v>
      </c>
      <c r="B16">
        <v>54</v>
      </c>
      <c r="C16" s="6">
        <v>2076.37</v>
      </c>
      <c r="D16">
        <v>17</v>
      </c>
      <c r="E16" s="9">
        <v>0.31481481481481483</v>
      </c>
      <c r="F16" s="6">
        <v>116.04</v>
      </c>
    </row>
    <row r="17" spans="1:6" x14ac:dyDescent="0.35">
      <c r="A17" s="5" t="s">
        <v>44</v>
      </c>
      <c r="B17">
        <v>28</v>
      </c>
      <c r="C17" s="6">
        <v>3471.4999999999991</v>
      </c>
      <c r="D17">
        <v>8</v>
      </c>
      <c r="E17" s="9">
        <v>0.2857142857142857</v>
      </c>
      <c r="F17" s="6">
        <v>161.4</v>
      </c>
    </row>
    <row r="18" spans="1:6" x14ac:dyDescent="0.35">
      <c r="A18" s="5" t="s">
        <v>55</v>
      </c>
      <c r="B18">
        <v>45</v>
      </c>
      <c r="C18" s="6">
        <v>10777.5</v>
      </c>
      <c r="D18">
        <v>12</v>
      </c>
      <c r="E18" s="9">
        <v>0.26666666666666666</v>
      </c>
      <c r="F18" s="6">
        <v>659.48</v>
      </c>
    </row>
    <row r="19" spans="1:6" x14ac:dyDescent="0.35">
      <c r="A19" s="5" t="s">
        <v>81</v>
      </c>
      <c r="B19">
        <v>60</v>
      </c>
      <c r="C19" s="6">
        <v>3565.61</v>
      </c>
      <c r="D19">
        <v>15</v>
      </c>
      <c r="E19" s="9">
        <v>0.25</v>
      </c>
      <c r="F19" s="6">
        <v>179.41</v>
      </c>
    </row>
    <row r="20" spans="1:6" x14ac:dyDescent="0.35">
      <c r="A20" s="5" t="s">
        <v>64</v>
      </c>
      <c r="B20">
        <v>22</v>
      </c>
      <c r="C20" s="6">
        <v>455.23</v>
      </c>
      <c r="D20">
        <v>3</v>
      </c>
      <c r="E20" s="9">
        <v>0.13636363636363635</v>
      </c>
      <c r="F20" s="6">
        <v>17.79</v>
      </c>
    </row>
    <row r="21" spans="1:6" x14ac:dyDescent="0.35">
      <c r="A21" s="5" t="s">
        <v>72</v>
      </c>
      <c r="B21">
        <v>30</v>
      </c>
      <c r="C21" s="6">
        <v>1518.7700000000002</v>
      </c>
      <c r="D21">
        <v>4</v>
      </c>
      <c r="E21" s="9">
        <v>0.13333333333333333</v>
      </c>
      <c r="F21" s="6">
        <v>45.230000000000004</v>
      </c>
    </row>
    <row r="22" spans="1:6" x14ac:dyDescent="0.35">
      <c r="A22" s="5" t="s">
        <v>527</v>
      </c>
      <c r="B22">
        <v>302</v>
      </c>
      <c r="C22" s="6">
        <v>66087.72</v>
      </c>
      <c r="D22">
        <v>84</v>
      </c>
      <c r="E22" s="9">
        <v>0.27814569536423839</v>
      </c>
      <c r="F22" s="6">
        <v>5679.8099999999986</v>
      </c>
    </row>
    <row r="26" spans="1:6" x14ac:dyDescent="0.35">
      <c r="A26" s="4" t="s">
        <v>28</v>
      </c>
      <c r="B26" t="s">
        <v>528</v>
      </c>
      <c r="C26" t="s">
        <v>7</v>
      </c>
      <c r="D26" t="s">
        <v>548</v>
      </c>
      <c r="E26" t="s">
        <v>549</v>
      </c>
      <c r="F26" t="s">
        <v>9</v>
      </c>
    </row>
    <row r="27" spans="1:6" x14ac:dyDescent="0.35">
      <c r="A27" s="5" t="s">
        <v>110</v>
      </c>
      <c r="B27">
        <v>44</v>
      </c>
      <c r="C27" s="6">
        <v>11720.629999999997</v>
      </c>
      <c r="D27">
        <v>17</v>
      </c>
      <c r="E27" s="9">
        <v>0.38636363636363635</v>
      </c>
      <c r="F27" s="6">
        <v>2051.5599999999995</v>
      </c>
    </row>
    <row r="28" spans="1:6" x14ac:dyDescent="0.35">
      <c r="A28" s="5" t="s">
        <v>57</v>
      </c>
      <c r="B28">
        <v>76</v>
      </c>
      <c r="C28" s="6">
        <v>24522.37</v>
      </c>
      <c r="D28">
        <v>22</v>
      </c>
      <c r="E28" s="9">
        <v>0.28947368421052633</v>
      </c>
      <c r="F28" s="6">
        <v>1482.8800000000003</v>
      </c>
    </row>
    <row r="29" spans="1:6" x14ac:dyDescent="0.35">
      <c r="A29" s="5" t="s">
        <v>66</v>
      </c>
      <c r="B29">
        <v>69</v>
      </c>
      <c r="C29" s="6">
        <v>14226.06</v>
      </c>
      <c r="D29">
        <v>19</v>
      </c>
      <c r="E29" s="9">
        <v>0.27536231884057971</v>
      </c>
      <c r="F29" s="6">
        <v>737.72</v>
      </c>
    </row>
    <row r="30" spans="1:6" x14ac:dyDescent="0.35">
      <c r="A30" s="5" t="s">
        <v>100</v>
      </c>
      <c r="B30">
        <v>34</v>
      </c>
      <c r="C30" s="6">
        <v>1759.64</v>
      </c>
      <c r="D30">
        <v>9</v>
      </c>
      <c r="E30" s="9">
        <v>0.26470588235294118</v>
      </c>
      <c r="F30" s="6">
        <v>66.47</v>
      </c>
    </row>
    <row r="31" spans="1:6" x14ac:dyDescent="0.35">
      <c r="A31" s="5" t="s">
        <v>47</v>
      </c>
      <c r="B31">
        <v>58</v>
      </c>
      <c r="C31" s="6">
        <v>9757.0500000000029</v>
      </c>
      <c r="D31">
        <v>15</v>
      </c>
      <c r="E31" s="9">
        <v>0.25862068965517243</v>
      </c>
      <c r="F31" s="6">
        <v>791.7600000000001</v>
      </c>
    </row>
    <row r="32" spans="1:6" x14ac:dyDescent="0.35">
      <c r="A32" s="5" t="s">
        <v>105</v>
      </c>
      <c r="B32">
        <v>21</v>
      </c>
      <c r="C32" s="6">
        <v>4101.97</v>
      </c>
      <c r="D32">
        <v>2</v>
      </c>
      <c r="E32" s="9">
        <v>9.5238095238095233E-2</v>
      </c>
      <c r="F32" s="6">
        <v>549.41999999999996</v>
      </c>
    </row>
    <row r="33" spans="1:6" x14ac:dyDescent="0.35">
      <c r="A33" s="5" t="s">
        <v>527</v>
      </c>
      <c r="B33">
        <v>302</v>
      </c>
      <c r="C33" s="6">
        <v>66087.72</v>
      </c>
      <c r="D33">
        <v>84</v>
      </c>
      <c r="E33" s="9">
        <v>0.27814569536423839</v>
      </c>
      <c r="F33" s="6">
        <v>5679.8100000000022</v>
      </c>
    </row>
    <row r="37" spans="1:6" x14ac:dyDescent="0.35">
      <c r="A37" s="4" t="s">
        <v>547</v>
      </c>
      <c r="B37" t="s">
        <v>528</v>
      </c>
      <c r="C37" t="s">
        <v>7</v>
      </c>
      <c r="D37" t="s">
        <v>551</v>
      </c>
      <c r="E37" t="s">
        <v>12</v>
      </c>
      <c r="F37" t="s">
        <v>550</v>
      </c>
    </row>
    <row r="38" spans="1:6" x14ac:dyDescent="0.35">
      <c r="A38" s="5" t="s">
        <v>86</v>
      </c>
      <c r="B38">
        <v>34</v>
      </c>
      <c r="C38" s="6">
        <v>6523.39</v>
      </c>
      <c r="D38" s="6">
        <v>3479.53</v>
      </c>
      <c r="E38">
        <v>12</v>
      </c>
      <c r="F38" s="9">
        <v>0.35294117647058826</v>
      </c>
    </row>
    <row r="39" spans="1:6" x14ac:dyDescent="0.35">
      <c r="A39" s="5" t="s">
        <v>71</v>
      </c>
      <c r="B39">
        <v>37</v>
      </c>
      <c r="C39" s="6">
        <v>8984.07</v>
      </c>
      <c r="D39" s="6">
        <v>1831.52</v>
      </c>
      <c r="E39">
        <v>9</v>
      </c>
      <c r="F39" s="9">
        <v>0.24324324324324326</v>
      </c>
    </row>
    <row r="40" spans="1:6" x14ac:dyDescent="0.35">
      <c r="A40" s="5" t="s">
        <v>42</v>
      </c>
      <c r="B40">
        <v>48</v>
      </c>
      <c r="C40" s="6">
        <v>9813.8700000000026</v>
      </c>
      <c r="D40" s="6">
        <v>1064.5800000000002</v>
      </c>
      <c r="E40">
        <v>11</v>
      </c>
      <c r="F40" s="9">
        <v>0.22916666666666666</v>
      </c>
    </row>
    <row r="41" spans="1:6" x14ac:dyDescent="0.35">
      <c r="A41" s="5" t="s">
        <v>93</v>
      </c>
      <c r="B41">
        <v>66</v>
      </c>
      <c r="C41" s="6">
        <v>16878.600000000002</v>
      </c>
      <c r="D41" s="6">
        <v>3222.2800000000007</v>
      </c>
      <c r="E41">
        <v>14</v>
      </c>
      <c r="F41" s="9">
        <v>0.21212121212121213</v>
      </c>
    </row>
    <row r="42" spans="1:6" x14ac:dyDescent="0.35">
      <c r="A42" s="5" t="s">
        <v>63</v>
      </c>
      <c r="B42">
        <v>101</v>
      </c>
      <c r="C42" s="6">
        <v>21719.51</v>
      </c>
      <c r="D42" s="6">
        <v>4750.2299999999996</v>
      </c>
      <c r="E42">
        <v>20</v>
      </c>
      <c r="F42" s="9">
        <v>0.19801980198019803</v>
      </c>
    </row>
    <row r="43" spans="1:6" x14ac:dyDescent="0.35">
      <c r="A43" s="5" t="s">
        <v>80</v>
      </c>
      <c r="B43">
        <v>16</v>
      </c>
      <c r="C43" s="6">
        <v>2168.2799999999997</v>
      </c>
      <c r="D43" s="6">
        <v>135.79999999999998</v>
      </c>
      <c r="E43">
        <v>3</v>
      </c>
      <c r="F43" s="9">
        <v>0.1875</v>
      </c>
    </row>
    <row r="44" spans="1:6" x14ac:dyDescent="0.35">
      <c r="A44" s="5" t="s">
        <v>527</v>
      </c>
      <c r="B44">
        <v>302</v>
      </c>
      <c r="C44" s="6">
        <v>66087.720000000016</v>
      </c>
      <c r="D44" s="6">
        <v>14483.939999999995</v>
      </c>
      <c r="E44">
        <v>69</v>
      </c>
      <c r="F44" s="9">
        <v>0.22847682119205298</v>
      </c>
    </row>
    <row r="45" spans="1:6" x14ac:dyDescent="0.35">
      <c r="F45" s="6"/>
    </row>
    <row r="46" spans="1:6" x14ac:dyDescent="0.35">
      <c r="F46" s="6"/>
    </row>
    <row r="47" spans="1:6" x14ac:dyDescent="0.35">
      <c r="F47" s="6"/>
    </row>
    <row r="48" spans="1:6" x14ac:dyDescent="0.35">
      <c r="A48" s="4" t="s">
        <v>547</v>
      </c>
      <c r="B48" t="s">
        <v>528</v>
      </c>
      <c r="C48" t="s">
        <v>7</v>
      </c>
      <c r="D48" s="6" t="s">
        <v>553</v>
      </c>
      <c r="E48" t="s">
        <v>10</v>
      </c>
      <c r="F48" t="s">
        <v>552</v>
      </c>
    </row>
    <row r="49" spans="1:13" x14ac:dyDescent="0.35">
      <c r="A49" s="5" t="s">
        <v>93</v>
      </c>
      <c r="B49">
        <v>66</v>
      </c>
      <c r="C49" s="6">
        <v>16878.600000000002</v>
      </c>
      <c r="D49" s="6">
        <v>2128.14</v>
      </c>
      <c r="E49">
        <v>11</v>
      </c>
      <c r="F49" s="9">
        <v>0.16666666666666666</v>
      </c>
    </row>
    <row r="50" spans="1:13" x14ac:dyDescent="0.35">
      <c r="A50" s="5" t="s">
        <v>63</v>
      </c>
      <c r="B50">
        <v>101</v>
      </c>
      <c r="C50" s="6">
        <v>21719.51</v>
      </c>
      <c r="D50" s="6">
        <v>1701.1700000000003</v>
      </c>
      <c r="E50">
        <v>14</v>
      </c>
      <c r="F50" s="9">
        <v>0.13861386138613863</v>
      </c>
    </row>
    <row r="51" spans="1:13" x14ac:dyDescent="0.35">
      <c r="A51" s="5" t="s">
        <v>71</v>
      </c>
      <c r="B51">
        <v>37</v>
      </c>
      <c r="C51" s="6">
        <v>8984.07</v>
      </c>
      <c r="D51" s="6">
        <v>1030.6600000000001</v>
      </c>
      <c r="E51">
        <v>4</v>
      </c>
      <c r="F51" s="9">
        <v>0.10810810810810811</v>
      </c>
    </row>
    <row r="52" spans="1:13" x14ac:dyDescent="0.35">
      <c r="A52" s="5" t="s">
        <v>42</v>
      </c>
      <c r="B52">
        <v>48</v>
      </c>
      <c r="C52" s="6">
        <v>9813.8700000000026</v>
      </c>
      <c r="D52" s="6">
        <v>1580.7800000000002</v>
      </c>
      <c r="E52">
        <v>5</v>
      </c>
      <c r="F52" s="9">
        <v>0.10416666666666667</v>
      </c>
    </row>
    <row r="53" spans="1:13" x14ac:dyDescent="0.35">
      <c r="A53" s="5" t="s">
        <v>86</v>
      </c>
      <c r="B53">
        <v>34</v>
      </c>
      <c r="C53" s="6">
        <v>6523.39</v>
      </c>
      <c r="D53" s="6">
        <v>211.34</v>
      </c>
      <c r="E53">
        <v>3</v>
      </c>
      <c r="F53" s="9">
        <v>8.8235294117647065E-2</v>
      </c>
    </row>
    <row r="54" spans="1:13" x14ac:dyDescent="0.35">
      <c r="A54" s="5" t="s">
        <v>80</v>
      </c>
      <c r="B54">
        <v>16</v>
      </c>
      <c r="C54" s="6">
        <v>2168.2799999999997</v>
      </c>
      <c r="D54" s="6">
        <v>131.94999999999999</v>
      </c>
      <c r="E54">
        <v>1</v>
      </c>
      <c r="F54" s="9">
        <v>6.25E-2</v>
      </c>
    </row>
    <row r="55" spans="1:13" x14ac:dyDescent="0.35">
      <c r="A55" s="5" t="s">
        <v>527</v>
      </c>
      <c r="B55">
        <v>302</v>
      </c>
      <c r="C55" s="6">
        <v>66087.720000000016</v>
      </c>
      <c r="D55" s="6">
        <v>6784.0399999999991</v>
      </c>
      <c r="E55">
        <v>38</v>
      </c>
      <c r="F55" s="9">
        <v>0.12582781456953643</v>
      </c>
    </row>
    <row r="59" spans="1:13" x14ac:dyDescent="0.35">
      <c r="A59" s="4" t="s">
        <v>19</v>
      </c>
      <c r="B59" t="s">
        <v>528</v>
      </c>
      <c r="C59" t="s">
        <v>8</v>
      </c>
      <c r="D59" t="s">
        <v>543</v>
      </c>
      <c r="E59" t="s">
        <v>554</v>
      </c>
      <c r="F59" t="s">
        <v>552</v>
      </c>
      <c r="G59" t="s">
        <v>12</v>
      </c>
      <c r="H59" t="s">
        <v>550</v>
      </c>
      <c r="J59" s="4" t="s">
        <v>19</v>
      </c>
      <c r="K59" t="s">
        <v>543</v>
      </c>
      <c r="L59" t="s">
        <v>552</v>
      </c>
      <c r="M59" t="s">
        <v>550</v>
      </c>
    </row>
    <row r="60" spans="1:13" x14ac:dyDescent="0.35">
      <c r="A60" s="5" t="s">
        <v>542</v>
      </c>
      <c r="B60">
        <v>19</v>
      </c>
      <c r="C60">
        <v>9</v>
      </c>
      <c r="D60" s="9">
        <v>0.47368421052631576</v>
      </c>
      <c r="E60">
        <v>1</v>
      </c>
      <c r="F60" s="9">
        <v>5.2631578947368418E-2</v>
      </c>
      <c r="G60">
        <v>6</v>
      </c>
      <c r="H60" s="9">
        <v>0.31578947368421051</v>
      </c>
      <c r="J60" s="5" t="s">
        <v>542</v>
      </c>
      <c r="K60" s="9">
        <v>0.47368421052631576</v>
      </c>
      <c r="L60" s="9">
        <v>5.2631578947368418E-2</v>
      </c>
      <c r="M60" s="9">
        <v>0.31578947368421051</v>
      </c>
    </row>
    <row r="61" spans="1:13" x14ac:dyDescent="0.35">
      <c r="A61" s="5" t="s">
        <v>532</v>
      </c>
      <c r="B61">
        <v>19</v>
      </c>
      <c r="C61">
        <v>4</v>
      </c>
      <c r="D61" s="9">
        <v>0.21052631578947367</v>
      </c>
      <c r="E61">
        <v>3</v>
      </c>
      <c r="F61" s="9">
        <v>0.15789473684210525</v>
      </c>
      <c r="G61">
        <v>4</v>
      </c>
      <c r="H61" s="9">
        <v>0.21052631578947367</v>
      </c>
      <c r="J61" s="5" t="s">
        <v>532</v>
      </c>
      <c r="K61" s="9">
        <v>0.21052631578947367</v>
      </c>
      <c r="L61" s="9">
        <v>0.15789473684210525</v>
      </c>
      <c r="M61" s="9">
        <v>0.21052631578947367</v>
      </c>
    </row>
    <row r="62" spans="1:13" x14ac:dyDescent="0.35">
      <c r="A62" s="5" t="s">
        <v>541</v>
      </c>
      <c r="B62">
        <v>34</v>
      </c>
      <c r="C62">
        <v>11</v>
      </c>
      <c r="D62" s="9">
        <v>0.3235294117647059</v>
      </c>
      <c r="E62">
        <v>3</v>
      </c>
      <c r="F62" s="9">
        <v>8.8235294117647065E-2</v>
      </c>
      <c r="G62">
        <v>6</v>
      </c>
      <c r="H62" s="9">
        <v>0.17647058823529413</v>
      </c>
      <c r="J62" s="5" t="s">
        <v>541</v>
      </c>
      <c r="K62" s="9">
        <v>0.3235294117647059</v>
      </c>
      <c r="L62" s="9">
        <v>8.8235294117647065E-2</v>
      </c>
      <c r="M62" s="9">
        <v>0.17647058823529413</v>
      </c>
    </row>
    <row r="63" spans="1:13" x14ac:dyDescent="0.35">
      <c r="A63" s="5" t="s">
        <v>534</v>
      </c>
      <c r="B63">
        <v>26</v>
      </c>
      <c r="C63">
        <v>10</v>
      </c>
      <c r="D63" s="9">
        <v>0.38461538461538464</v>
      </c>
      <c r="E63">
        <v>3</v>
      </c>
      <c r="F63" s="9">
        <v>0.11538461538461539</v>
      </c>
      <c r="G63">
        <v>5</v>
      </c>
      <c r="H63" s="9">
        <v>0.19230769230769232</v>
      </c>
      <c r="J63" s="5" t="s">
        <v>534</v>
      </c>
      <c r="K63" s="9">
        <v>0.38461538461538464</v>
      </c>
      <c r="L63" s="9">
        <v>0.11538461538461539</v>
      </c>
      <c r="M63" s="9">
        <v>0.19230769230769232</v>
      </c>
    </row>
    <row r="64" spans="1:13" x14ac:dyDescent="0.35">
      <c r="A64" s="5" t="s">
        <v>538</v>
      </c>
      <c r="B64">
        <v>29</v>
      </c>
      <c r="C64">
        <v>9</v>
      </c>
      <c r="D64" s="9">
        <v>0.31034482758620691</v>
      </c>
      <c r="E64">
        <v>4</v>
      </c>
      <c r="F64" s="9">
        <v>0.13793103448275862</v>
      </c>
      <c r="G64">
        <v>4</v>
      </c>
      <c r="H64" s="9">
        <v>0.13793103448275862</v>
      </c>
      <c r="J64" s="5" t="s">
        <v>538</v>
      </c>
      <c r="K64" s="9">
        <v>0.31034482758620691</v>
      </c>
      <c r="L64" s="9">
        <v>0.13793103448275862</v>
      </c>
      <c r="M64" s="9">
        <v>0.13793103448275862</v>
      </c>
    </row>
    <row r="65" spans="1:13" x14ac:dyDescent="0.35">
      <c r="A65" s="5" t="s">
        <v>535</v>
      </c>
      <c r="B65">
        <v>21</v>
      </c>
      <c r="C65">
        <v>6</v>
      </c>
      <c r="D65" s="9">
        <v>0.2857142857142857</v>
      </c>
      <c r="E65">
        <v>3</v>
      </c>
      <c r="F65" s="9">
        <v>0.14285714285714285</v>
      </c>
      <c r="G65">
        <v>4</v>
      </c>
      <c r="H65" s="9">
        <v>0.19047619047619047</v>
      </c>
      <c r="J65" s="5" t="s">
        <v>535</v>
      </c>
      <c r="K65" s="9">
        <v>0.2857142857142857</v>
      </c>
      <c r="L65" s="9">
        <v>0.14285714285714285</v>
      </c>
      <c r="M65" s="9">
        <v>0.19047619047619047</v>
      </c>
    </row>
    <row r="66" spans="1:13" x14ac:dyDescent="0.35">
      <c r="A66" s="5" t="s">
        <v>533</v>
      </c>
      <c r="B66">
        <v>29</v>
      </c>
      <c r="C66">
        <v>8</v>
      </c>
      <c r="D66" s="9">
        <v>0.27586206896551724</v>
      </c>
      <c r="E66">
        <v>5</v>
      </c>
      <c r="F66" s="9">
        <v>0.17241379310344829</v>
      </c>
      <c r="G66">
        <v>9</v>
      </c>
      <c r="H66" s="9">
        <v>0.31034482758620691</v>
      </c>
      <c r="J66" s="5" t="s">
        <v>533</v>
      </c>
      <c r="K66" s="9">
        <v>0.27586206896551724</v>
      </c>
      <c r="L66" s="9">
        <v>0.17241379310344829</v>
      </c>
      <c r="M66" s="9">
        <v>0.31034482758620691</v>
      </c>
    </row>
    <row r="67" spans="1:13" x14ac:dyDescent="0.35">
      <c r="A67" s="5" t="s">
        <v>536</v>
      </c>
      <c r="B67">
        <v>28</v>
      </c>
      <c r="C67">
        <v>9</v>
      </c>
      <c r="D67" s="9">
        <v>0.32142857142857145</v>
      </c>
      <c r="E67">
        <v>4</v>
      </c>
      <c r="F67" s="9">
        <v>0.14285714285714285</v>
      </c>
      <c r="G67">
        <v>8</v>
      </c>
      <c r="H67" s="9">
        <v>0.2857142857142857</v>
      </c>
      <c r="J67" s="5" t="s">
        <v>536</v>
      </c>
      <c r="K67" s="9">
        <v>0.32142857142857145</v>
      </c>
      <c r="L67" s="9">
        <v>0.14285714285714285</v>
      </c>
      <c r="M67" s="9">
        <v>0.2857142857142857</v>
      </c>
    </row>
    <row r="68" spans="1:13" x14ac:dyDescent="0.35">
      <c r="A68" s="5" t="s">
        <v>539</v>
      </c>
      <c r="B68">
        <v>27</v>
      </c>
      <c r="C68">
        <v>4</v>
      </c>
      <c r="D68" s="9">
        <v>0.14814814814814814</v>
      </c>
      <c r="E68">
        <v>5</v>
      </c>
      <c r="F68" s="9">
        <v>0.18518518518518517</v>
      </c>
      <c r="G68">
        <v>4</v>
      </c>
      <c r="H68" s="9">
        <v>0.14814814814814814</v>
      </c>
      <c r="J68" s="5" t="s">
        <v>539</v>
      </c>
      <c r="K68" s="9">
        <v>0.14814814814814814</v>
      </c>
      <c r="L68" s="9">
        <v>0.18518518518518517</v>
      </c>
      <c r="M68" s="9">
        <v>0.14814814814814814</v>
      </c>
    </row>
    <row r="69" spans="1:13" x14ac:dyDescent="0.35">
      <c r="A69" s="5" t="s">
        <v>531</v>
      </c>
      <c r="B69">
        <v>27</v>
      </c>
      <c r="C69">
        <v>6</v>
      </c>
      <c r="D69" s="9">
        <v>0.22222222222222221</v>
      </c>
      <c r="E69">
        <v>3</v>
      </c>
      <c r="F69" s="9">
        <v>0.1111111111111111</v>
      </c>
      <c r="G69">
        <v>7</v>
      </c>
      <c r="H69" s="9">
        <v>0.25925925925925924</v>
      </c>
      <c r="J69" s="5" t="s">
        <v>531</v>
      </c>
      <c r="K69" s="9">
        <v>0.22222222222222221</v>
      </c>
      <c r="L69" s="9">
        <v>0.1111111111111111</v>
      </c>
      <c r="M69" s="9">
        <v>0.25925925925925924</v>
      </c>
    </row>
    <row r="70" spans="1:13" x14ac:dyDescent="0.35">
      <c r="A70" s="5" t="s">
        <v>540</v>
      </c>
      <c r="B70">
        <v>28</v>
      </c>
      <c r="C70">
        <v>3</v>
      </c>
      <c r="D70" s="9">
        <v>0.10714285714285714</v>
      </c>
      <c r="E70">
        <v>3</v>
      </c>
      <c r="F70" s="9">
        <v>0.10714285714285714</v>
      </c>
      <c r="G70">
        <v>7</v>
      </c>
      <c r="H70" s="9">
        <v>0.25</v>
      </c>
      <c r="J70" s="5" t="s">
        <v>540</v>
      </c>
      <c r="K70" s="9">
        <v>0.10714285714285714</v>
      </c>
      <c r="L70" s="9">
        <v>0.10714285714285714</v>
      </c>
      <c r="M70" s="9">
        <v>0.25</v>
      </c>
    </row>
    <row r="71" spans="1:13" x14ac:dyDescent="0.35">
      <c r="A71" s="5" t="s">
        <v>537</v>
      </c>
      <c r="B71">
        <v>15</v>
      </c>
      <c r="C71">
        <v>5</v>
      </c>
      <c r="D71" s="9">
        <v>0.33333333333333331</v>
      </c>
      <c r="E71">
        <v>1</v>
      </c>
      <c r="F71" s="9">
        <v>6.6666666666666666E-2</v>
      </c>
      <c r="G71">
        <v>5</v>
      </c>
      <c r="H71" s="9">
        <v>0.33333333333333331</v>
      </c>
      <c r="J71" s="5" t="s">
        <v>537</v>
      </c>
      <c r="K71" s="9">
        <v>0.33333333333333331</v>
      </c>
      <c r="L71" s="9">
        <v>6.6666666666666666E-2</v>
      </c>
      <c r="M71" s="9">
        <v>0.33333333333333331</v>
      </c>
    </row>
    <row r="72" spans="1:13" x14ac:dyDescent="0.35">
      <c r="A72" s="5" t="s">
        <v>527</v>
      </c>
      <c r="B72">
        <v>302</v>
      </c>
      <c r="C72">
        <v>84</v>
      </c>
      <c r="D72" s="9">
        <v>0.27814569536423839</v>
      </c>
      <c r="E72">
        <v>38</v>
      </c>
      <c r="F72" s="9">
        <v>0.12582781456953643</v>
      </c>
      <c r="G72">
        <v>69</v>
      </c>
      <c r="H72" s="9">
        <v>0.22847682119205298</v>
      </c>
      <c r="J72" s="5" t="s">
        <v>527</v>
      </c>
      <c r="K72" s="9">
        <v>0.27814569536423839</v>
      </c>
      <c r="L72" s="9">
        <v>0.12582781456953643</v>
      </c>
      <c r="M72" s="9">
        <v>0.22847682119205298</v>
      </c>
    </row>
    <row r="76" spans="1:13" x14ac:dyDescent="0.35">
      <c r="A76" s="4" t="s">
        <v>37</v>
      </c>
      <c r="B76" t="s">
        <v>528</v>
      </c>
      <c r="C76" t="s">
        <v>555</v>
      </c>
      <c r="D76" t="s">
        <v>7</v>
      </c>
      <c r="F76" s="4" t="s">
        <v>547</v>
      </c>
      <c r="G76" t="s">
        <v>528</v>
      </c>
    </row>
    <row r="77" spans="1:13" x14ac:dyDescent="0.35">
      <c r="A77" s="5" t="s">
        <v>49</v>
      </c>
      <c r="B77">
        <v>143</v>
      </c>
      <c r="C77" s="9">
        <v>0.47350993377483441</v>
      </c>
      <c r="D77" s="6">
        <v>22545.010000000006</v>
      </c>
      <c r="F77" s="5" t="s">
        <v>49</v>
      </c>
      <c r="G77">
        <v>143</v>
      </c>
    </row>
    <row r="78" spans="1:13" x14ac:dyDescent="0.35">
      <c r="A78" s="5" t="s">
        <v>32</v>
      </c>
      <c r="B78">
        <v>59</v>
      </c>
      <c r="C78" s="9">
        <v>0.19536423841059603</v>
      </c>
      <c r="D78" s="6">
        <v>23531.469999999998</v>
      </c>
      <c r="F78" s="5" t="s">
        <v>32</v>
      </c>
      <c r="G78">
        <v>59</v>
      </c>
    </row>
    <row r="79" spans="1:13" x14ac:dyDescent="0.35">
      <c r="A79" s="5" t="s">
        <v>73</v>
      </c>
      <c r="B79">
        <v>45</v>
      </c>
      <c r="C79" s="9">
        <v>0.1490066225165563</v>
      </c>
      <c r="D79" s="6">
        <v>6722.9099999999989</v>
      </c>
      <c r="F79" s="5" t="s">
        <v>73</v>
      </c>
      <c r="G79">
        <v>45</v>
      </c>
    </row>
    <row r="80" spans="1:13" x14ac:dyDescent="0.35">
      <c r="A80" s="5" t="s">
        <v>33</v>
      </c>
      <c r="B80">
        <v>24</v>
      </c>
      <c r="C80" s="9">
        <v>7.9470198675496692E-2</v>
      </c>
      <c r="D80" s="6">
        <v>2891.86</v>
      </c>
      <c r="F80" s="5" t="s">
        <v>33</v>
      </c>
      <c r="G80">
        <v>24</v>
      </c>
    </row>
    <row r="81" spans="1:7" x14ac:dyDescent="0.35">
      <c r="A81" s="5" t="s">
        <v>220</v>
      </c>
      <c r="B81">
        <v>17</v>
      </c>
      <c r="C81" s="9">
        <v>5.6291390728476824E-2</v>
      </c>
      <c r="D81" s="6">
        <v>6504.2899999999991</v>
      </c>
      <c r="F81" s="5" t="s">
        <v>220</v>
      </c>
      <c r="G81">
        <v>17</v>
      </c>
    </row>
    <row r="82" spans="1:7" x14ac:dyDescent="0.35">
      <c r="A82" s="5" t="s">
        <v>300</v>
      </c>
      <c r="B82">
        <v>7</v>
      </c>
      <c r="C82" s="9">
        <v>2.3178807947019868E-2</v>
      </c>
      <c r="D82" s="6">
        <v>2635.44</v>
      </c>
      <c r="F82" s="5" t="s">
        <v>300</v>
      </c>
      <c r="G82">
        <v>7</v>
      </c>
    </row>
    <row r="83" spans="1:7" x14ac:dyDescent="0.35">
      <c r="A83" s="5" t="s">
        <v>101</v>
      </c>
      <c r="B83">
        <v>6</v>
      </c>
      <c r="C83" s="9">
        <v>1.9867549668874173E-2</v>
      </c>
      <c r="D83" s="6">
        <v>1083.1300000000001</v>
      </c>
      <c r="F83" s="5" t="s">
        <v>101</v>
      </c>
      <c r="G83">
        <v>6</v>
      </c>
    </row>
    <row r="84" spans="1:7" x14ac:dyDescent="0.35">
      <c r="A84" s="5" t="s">
        <v>133</v>
      </c>
      <c r="B84">
        <v>1</v>
      </c>
      <c r="C84" s="9">
        <v>3.3112582781456954E-3</v>
      </c>
      <c r="D84" s="6">
        <v>173.61</v>
      </c>
      <c r="F84" s="5" t="s">
        <v>133</v>
      </c>
      <c r="G84">
        <v>1</v>
      </c>
    </row>
    <row r="85" spans="1:7" x14ac:dyDescent="0.35">
      <c r="A85" s="5" t="s">
        <v>527</v>
      </c>
      <c r="B85">
        <v>302</v>
      </c>
      <c r="C85" s="9">
        <v>1</v>
      </c>
      <c r="D85" s="6">
        <v>66087.720000000016</v>
      </c>
      <c r="F85" s="5" t="s">
        <v>527</v>
      </c>
      <c r="G85">
        <v>302</v>
      </c>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9796-8A52-4A1C-B359-82899E3E4611}">
  <sheetPr>
    <tabColor theme="9" tint="0.79998168889431442"/>
  </sheetPr>
  <dimension ref="A1:M53"/>
  <sheetViews>
    <sheetView zoomScale="55" zoomScaleNormal="55" workbookViewId="0">
      <selection activeCell="N73" sqref="N73"/>
    </sheetView>
  </sheetViews>
  <sheetFormatPr defaultRowHeight="14.5" x14ac:dyDescent="0.35"/>
  <cols>
    <col min="1" max="1" width="18.54296875" bestFit="1" customWidth="1"/>
    <col min="2" max="2" width="15.08984375" bestFit="1" customWidth="1"/>
    <col min="3" max="3" width="11.453125" bestFit="1" customWidth="1"/>
    <col min="4" max="5" width="14.6328125" bestFit="1" customWidth="1"/>
    <col min="6" max="6" width="12.6328125" bestFit="1" customWidth="1"/>
    <col min="7" max="7" width="13.6328125" bestFit="1" customWidth="1"/>
    <col min="8" max="8" width="15" bestFit="1" customWidth="1"/>
    <col min="9" max="9" width="18.6328125" bestFit="1" customWidth="1"/>
    <col min="10" max="10" width="20.26953125" bestFit="1" customWidth="1"/>
    <col min="11" max="11" width="24.26953125" bestFit="1" customWidth="1"/>
    <col min="12" max="12" width="17.36328125" bestFit="1" customWidth="1"/>
    <col min="13" max="13" width="18.7265625" bestFit="1" customWidth="1"/>
    <col min="14" max="14" width="24.81640625" bestFit="1" customWidth="1"/>
  </cols>
  <sheetData>
    <row r="1" spans="1:13" s="19" customFormat="1" ht="26" x14ac:dyDescent="0.6">
      <c r="A1" s="18" t="s">
        <v>560</v>
      </c>
    </row>
    <row r="3" spans="1:13" x14ac:dyDescent="0.35">
      <c r="A3" s="4" t="s">
        <v>21</v>
      </c>
      <c r="B3" s="4" t="s">
        <v>22</v>
      </c>
      <c r="C3" t="s">
        <v>528</v>
      </c>
      <c r="D3" t="s">
        <v>7</v>
      </c>
      <c r="E3" t="s">
        <v>8</v>
      </c>
      <c r="F3" t="s">
        <v>543</v>
      </c>
      <c r="G3" t="s">
        <v>9</v>
      </c>
      <c r="H3" t="s">
        <v>10</v>
      </c>
      <c r="I3" t="s">
        <v>552</v>
      </c>
      <c r="J3" t="s">
        <v>553</v>
      </c>
      <c r="K3" t="s">
        <v>556</v>
      </c>
      <c r="L3" t="s">
        <v>557</v>
      </c>
      <c r="M3" t="s">
        <v>551</v>
      </c>
    </row>
    <row r="4" spans="1:13" x14ac:dyDescent="0.35">
      <c r="A4" t="s">
        <v>163</v>
      </c>
      <c r="B4" t="s">
        <v>63</v>
      </c>
      <c r="C4">
        <v>17</v>
      </c>
      <c r="D4" s="6">
        <v>5691.8600000000006</v>
      </c>
      <c r="E4">
        <v>5</v>
      </c>
      <c r="F4" s="9">
        <v>0.29411764705882354</v>
      </c>
      <c r="G4" s="6">
        <v>978.33</v>
      </c>
      <c r="H4">
        <v>0</v>
      </c>
      <c r="I4" s="9">
        <v>0</v>
      </c>
      <c r="J4" s="6">
        <v>0</v>
      </c>
      <c r="K4">
        <v>4</v>
      </c>
      <c r="L4" s="9">
        <v>0.23529411764705882</v>
      </c>
      <c r="M4" s="6">
        <v>1669.47</v>
      </c>
    </row>
    <row r="5" spans="1:13" x14ac:dyDescent="0.35">
      <c r="A5" t="s">
        <v>267</v>
      </c>
      <c r="B5" t="s">
        <v>42</v>
      </c>
      <c r="C5">
        <v>5</v>
      </c>
      <c r="D5" s="6">
        <v>2068.96</v>
      </c>
      <c r="E5">
        <v>1</v>
      </c>
      <c r="F5" s="9">
        <v>0.2</v>
      </c>
      <c r="G5" s="6">
        <v>539.25</v>
      </c>
      <c r="H5">
        <v>1</v>
      </c>
      <c r="I5" s="9">
        <v>0.2</v>
      </c>
      <c r="J5" s="6">
        <v>32.69</v>
      </c>
      <c r="K5">
        <v>0</v>
      </c>
      <c r="L5" s="9">
        <v>0</v>
      </c>
      <c r="M5" s="6">
        <v>0</v>
      </c>
    </row>
    <row r="6" spans="1:13" x14ac:dyDescent="0.35">
      <c r="A6" t="s">
        <v>62</v>
      </c>
      <c r="B6" t="s">
        <v>63</v>
      </c>
      <c r="C6">
        <v>48</v>
      </c>
      <c r="D6" s="6">
        <v>9355.159999999998</v>
      </c>
      <c r="E6">
        <v>12</v>
      </c>
      <c r="F6" s="9">
        <v>0.25</v>
      </c>
      <c r="G6" s="6">
        <v>483.28</v>
      </c>
      <c r="H6">
        <v>5</v>
      </c>
      <c r="I6" s="9">
        <v>0.10416666666666667</v>
      </c>
      <c r="J6" s="6">
        <v>1117.8499999999999</v>
      </c>
      <c r="K6">
        <v>9</v>
      </c>
      <c r="L6" s="9">
        <v>0.1875</v>
      </c>
      <c r="M6" s="6">
        <v>2112.3900000000003</v>
      </c>
    </row>
    <row r="7" spans="1:13" x14ac:dyDescent="0.35">
      <c r="A7" t="s">
        <v>238</v>
      </c>
      <c r="B7" t="s">
        <v>93</v>
      </c>
      <c r="C7">
        <v>4</v>
      </c>
      <c r="D7" s="6">
        <v>1853.79</v>
      </c>
      <c r="E7">
        <v>2</v>
      </c>
      <c r="F7" s="9">
        <v>0.5</v>
      </c>
      <c r="G7" s="6">
        <v>379.21</v>
      </c>
      <c r="H7">
        <v>1</v>
      </c>
      <c r="I7" s="9">
        <v>0.25</v>
      </c>
      <c r="J7" s="6">
        <v>122.21</v>
      </c>
      <c r="K7">
        <v>2</v>
      </c>
      <c r="L7" s="9">
        <v>0.5</v>
      </c>
      <c r="M7" s="6">
        <v>1254.21</v>
      </c>
    </row>
    <row r="8" spans="1:13" x14ac:dyDescent="0.35">
      <c r="A8" t="s">
        <v>70</v>
      </c>
      <c r="B8" t="s">
        <v>71</v>
      </c>
      <c r="C8">
        <v>4</v>
      </c>
      <c r="D8" s="6">
        <v>2360.21</v>
      </c>
      <c r="E8">
        <v>2</v>
      </c>
      <c r="F8" s="9">
        <v>0.5</v>
      </c>
      <c r="G8" s="6">
        <v>376.48</v>
      </c>
      <c r="H8">
        <v>1</v>
      </c>
      <c r="I8" s="9">
        <v>0.25</v>
      </c>
      <c r="J8" s="6">
        <v>323.75</v>
      </c>
      <c r="K8">
        <v>1</v>
      </c>
      <c r="L8" s="9">
        <v>0.25</v>
      </c>
      <c r="M8" s="6">
        <v>59.98</v>
      </c>
    </row>
    <row r="9" spans="1:13" x14ac:dyDescent="0.35">
      <c r="A9" t="s">
        <v>98</v>
      </c>
      <c r="B9" t="s">
        <v>93</v>
      </c>
      <c r="C9">
        <v>5</v>
      </c>
      <c r="D9" s="6">
        <v>1752.44</v>
      </c>
      <c r="E9">
        <v>2</v>
      </c>
      <c r="F9" s="9">
        <v>0.4</v>
      </c>
      <c r="G9" s="6">
        <v>365.53999999999996</v>
      </c>
      <c r="H9">
        <v>3</v>
      </c>
      <c r="I9" s="9">
        <v>0.6</v>
      </c>
      <c r="J9" s="6">
        <v>1252.5</v>
      </c>
      <c r="K9">
        <v>2</v>
      </c>
      <c r="L9" s="9">
        <v>0.4</v>
      </c>
      <c r="M9" s="6">
        <v>254.59</v>
      </c>
    </row>
    <row r="10" spans="1:13" x14ac:dyDescent="0.35">
      <c r="A10" t="s">
        <v>119</v>
      </c>
      <c r="B10" t="s">
        <v>42</v>
      </c>
      <c r="C10">
        <v>21</v>
      </c>
      <c r="D10" s="6">
        <v>4407.2299999999996</v>
      </c>
      <c r="E10">
        <v>9</v>
      </c>
      <c r="F10" s="9">
        <v>0.42857142857142855</v>
      </c>
      <c r="G10" s="6">
        <v>360.41000000000008</v>
      </c>
      <c r="H10">
        <v>3</v>
      </c>
      <c r="I10" s="9">
        <v>0.14285714285714285</v>
      </c>
      <c r="J10" s="6">
        <v>1428.89</v>
      </c>
      <c r="K10">
        <v>4</v>
      </c>
      <c r="L10" s="9">
        <v>0.19047619047619047</v>
      </c>
      <c r="M10" s="6">
        <v>746.02</v>
      </c>
    </row>
    <row r="11" spans="1:13" x14ac:dyDescent="0.35">
      <c r="A11" t="s">
        <v>337</v>
      </c>
      <c r="B11" t="s">
        <v>71</v>
      </c>
      <c r="C11">
        <v>3</v>
      </c>
      <c r="D11" s="6">
        <v>1994.42</v>
      </c>
      <c r="E11">
        <v>2</v>
      </c>
      <c r="F11" s="9">
        <v>0.66666666666666663</v>
      </c>
      <c r="G11" s="6">
        <v>358.95</v>
      </c>
      <c r="H11">
        <v>0</v>
      </c>
      <c r="I11" s="9">
        <v>0</v>
      </c>
      <c r="J11" s="6">
        <v>0</v>
      </c>
      <c r="K11">
        <v>1</v>
      </c>
      <c r="L11" s="9">
        <v>0.33333333333333331</v>
      </c>
      <c r="M11" s="6">
        <v>1136.96</v>
      </c>
    </row>
    <row r="12" spans="1:13" x14ac:dyDescent="0.35">
      <c r="A12" t="s">
        <v>166</v>
      </c>
      <c r="B12" t="s">
        <v>42</v>
      </c>
      <c r="C12">
        <v>4</v>
      </c>
      <c r="D12" s="6">
        <v>1094.21</v>
      </c>
      <c r="E12">
        <v>2</v>
      </c>
      <c r="F12" s="9">
        <v>0.5</v>
      </c>
      <c r="G12" s="6">
        <v>218.73999999999998</v>
      </c>
      <c r="H12">
        <v>0</v>
      </c>
      <c r="I12" s="9">
        <v>0</v>
      </c>
      <c r="J12" s="6">
        <v>0</v>
      </c>
      <c r="K12">
        <v>3</v>
      </c>
      <c r="L12" s="9">
        <v>0.75</v>
      </c>
      <c r="M12" s="6">
        <v>80.97999999999999</v>
      </c>
    </row>
    <row r="13" spans="1:13" x14ac:dyDescent="0.35">
      <c r="A13" t="s">
        <v>148</v>
      </c>
      <c r="B13" t="s">
        <v>93</v>
      </c>
      <c r="C13">
        <v>13</v>
      </c>
      <c r="D13" s="6">
        <v>3685.7499999999991</v>
      </c>
      <c r="E13">
        <v>5</v>
      </c>
      <c r="F13" s="9">
        <v>0.38461538461538464</v>
      </c>
      <c r="G13" s="6">
        <v>189.78</v>
      </c>
      <c r="H13">
        <v>1</v>
      </c>
      <c r="I13" s="9">
        <v>7.6923076923076927E-2</v>
      </c>
      <c r="J13" s="6">
        <v>89.97</v>
      </c>
      <c r="K13">
        <v>4</v>
      </c>
      <c r="L13" s="9">
        <v>0.30769230769230771</v>
      </c>
      <c r="M13" s="6">
        <v>335.32</v>
      </c>
    </row>
    <row r="14" spans="1:13" x14ac:dyDescent="0.35">
      <c r="A14" t="s">
        <v>85</v>
      </c>
      <c r="B14" t="s">
        <v>86</v>
      </c>
      <c r="C14">
        <v>11</v>
      </c>
      <c r="D14" s="6">
        <v>2350.7999999999997</v>
      </c>
      <c r="E14">
        <v>4</v>
      </c>
      <c r="F14" s="9">
        <v>0.36363636363636365</v>
      </c>
      <c r="G14" s="6">
        <v>150.47999999999999</v>
      </c>
      <c r="H14">
        <v>1</v>
      </c>
      <c r="I14" s="9">
        <v>9.0909090909090912E-2</v>
      </c>
      <c r="J14" s="6">
        <v>18.34</v>
      </c>
      <c r="K14">
        <v>4</v>
      </c>
      <c r="L14" s="9">
        <v>0.36363636363636365</v>
      </c>
      <c r="M14" s="6">
        <v>1809.46</v>
      </c>
    </row>
    <row r="15" spans="1:13" x14ac:dyDescent="0.35">
      <c r="A15" t="s">
        <v>174</v>
      </c>
      <c r="B15" t="s">
        <v>93</v>
      </c>
      <c r="C15">
        <v>12</v>
      </c>
      <c r="D15" s="6">
        <v>1320.1100000000001</v>
      </c>
      <c r="E15">
        <v>8</v>
      </c>
      <c r="F15" s="9">
        <v>0.66666666666666663</v>
      </c>
      <c r="G15" s="6">
        <v>141.56</v>
      </c>
      <c r="H15">
        <v>2</v>
      </c>
      <c r="I15" s="9">
        <v>0.16666666666666666</v>
      </c>
      <c r="J15" s="6">
        <v>107.39</v>
      </c>
      <c r="K15">
        <v>1</v>
      </c>
      <c r="L15" s="9">
        <v>8.3333333333333329E-2</v>
      </c>
      <c r="M15" s="6">
        <v>58.08</v>
      </c>
    </row>
    <row r="16" spans="1:13" x14ac:dyDescent="0.35">
      <c r="A16" t="s">
        <v>420</v>
      </c>
      <c r="B16" t="s">
        <v>93</v>
      </c>
      <c r="C16">
        <v>3</v>
      </c>
      <c r="D16" s="6">
        <v>1860.93</v>
      </c>
      <c r="E16">
        <v>1</v>
      </c>
      <c r="F16" s="9">
        <v>0.33333333333333331</v>
      </c>
      <c r="G16" s="6">
        <v>136.27000000000001</v>
      </c>
      <c r="H16">
        <v>1</v>
      </c>
      <c r="I16" s="9">
        <v>0.33333333333333331</v>
      </c>
      <c r="J16" s="6">
        <v>328.29</v>
      </c>
      <c r="K16">
        <v>0</v>
      </c>
      <c r="L16" s="9">
        <v>0</v>
      </c>
      <c r="M16" s="6">
        <v>0</v>
      </c>
    </row>
    <row r="17" spans="1:13" x14ac:dyDescent="0.35">
      <c r="A17" t="s">
        <v>360</v>
      </c>
      <c r="B17" t="s">
        <v>71</v>
      </c>
      <c r="C17">
        <v>5</v>
      </c>
      <c r="D17" s="6">
        <v>1132.98</v>
      </c>
      <c r="E17">
        <v>2</v>
      </c>
      <c r="F17" s="9">
        <v>0.4</v>
      </c>
      <c r="G17" s="6">
        <v>113.99</v>
      </c>
      <c r="H17">
        <v>0</v>
      </c>
      <c r="I17" s="9">
        <v>0</v>
      </c>
      <c r="J17" s="6">
        <v>0</v>
      </c>
      <c r="K17">
        <v>1</v>
      </c>
      <c r="L17" s="9">
        <v>0.2</v>
      </c>
      <c r="M17" s="6">
        <v>85.3</v>
      </c>
    </row>
    <row r="18" spans="1:13" x14ac:dyDescent="0.35">
      <c r="A18" t="s">
        <v>128</v>
      </c>
      <c r="B18" t="s">
        <v>63</v>
      </c>
      <c r="C18">
        <v>12</v>
      </c>
      <c r="D18" s="6">
        <v>2922.6799999999989</v>
      </c>
      <c r="E18">
        <v>1</v>
      </c>
      <c r="F18" s="9">
        <v>8.3333333333333329E-2</v>
      </c>
      <c r="G18" s="6">
        <v>109.41</v>
      </c>
      <c r="H18">
        <v>4</v>
      </c>
      <c r="I18" s="9">
        <v>0.33333333333333331</v>
      </c>
      <c r="J18" s="6">
        <v>453.78</v>
      </c>
      <c r="K18">
        <v>2</v>
      </c>
      <c r="L18" s="9">
        <v>0.16666666666666666</v>
      </c>
      <c r="M18" s="6">
        <v>285.51</v>
      </c>
    </row>
    <row r="19" spans="1:13" x14ac:dyDescent="0.35">
      <c r="A19" t="s">
        <v>115</v>
      </c>
      <c r="B19" t="s">
        <v>42</v>
      </c>
      <c r="C19">
        <v>5</v>
      </c>
      <c r="D19" s="6">
        <v>1129.2600000000002</v>
      </c>
      <c r="E19">
        <v>1</v>
      </c>
      <c r="F19" s="9">
        <v>0.2</v>
      </c>
      <c r="G19" s="6">
        <v>107.48</v>
      </c>
      <c r="H19">
        <v>1</v>
      </c>
      <c r="I19" s="9">
        <v>0.2</v>
      </c>
      <c r="J19" s="6">
        <v>119.2</v>
      </c>
      <c r="K19">
        <v>0</v>
      </c>
      <c r="L19" s="9">
        <v>0</v>
      </c>
      <c r="M19" s="6">
        <v>0</v>
      </c>
    </row>
    <row r="20" spans="1:13" x14ac:dyDescent="0.35">
      <c r="A20" t="s">
        <v>185</v>
      </c>
      <c r="B20" t="s">
        <v>93</v>
      </c>
      <c r="C20">
        <v>10</v>
      </c>
      <c r="D20" s="6">
        <v>1860.7499999999995</v>
      </c>
      <c r="E20">
        <v>4</v>
      </c>
      <c r="F20" s="9">
        <v>0.4</v>
      </c>
      <c r="G20" s="6">
        <v>82.98</v>
      </c>
      <c r="H20">
        <v>0</v>
      </c>
      <c r="I20" s="9">
        <v>0</v>
      </c>
      <c r="J20" s="6">
        <v>0</v>
      </c>
      <c r="K20">
        <v>2</v>
      </c>
      <c r="L20" s="9">
        <v>0.2</v>
      </c>
      <c r="M20" s="6">
        <v>317.12</v>
      </c>
    </row>
    <row r="21" spans="1:13" x14ac:dyDescent="0.35">
      <c r="A21" t="s">
        <v>190</v>
      </c>
      <c r="B21" t="s">
        <v>93</v>
      </c>
      <c r="C21">
        <v>9</v>
      </c>
      <c r="D21" s="6">
        <v>2875.15</v>
      </c>
      <c r="E21">
        <v>1</v>
      </c>
      <c r="F21" s="9">
        <v>0.1111111111111111</v>
      </c>
      <c r="G21" s="6">
        <v>82.02</v>
      </c>
      <c r="H21">
        <v>1</v>
      </c>
      <c r="I21" s="9">
        <v>0.1111111111111111</v>
      </c>
      <c r="J21" s="6">
        <v>23.51</v>
      </c>
      <c r="K21">
        <v>1</v>
      </c>
      <c r="L21" s="9">
        <v>0.1111111111111111</v>
      </c>
      <c r="M21" s="6">
        <v>693.8</v>
      </c>
    </row>
    <row r="22" spans="1:13" x14ac:dyDescent="0.35">
      <c r="A22" t="s">
        <v>41</v>
      </c>
      <c r="B22" t="s">
        <v>42</v>
      </c>
      <c r="C22">
        <v>5</v>
      </c>
      <c r="D22" s="6">
        <v>655.66000000000008</v>
      </c>
      <c r="E22">
        <v>2</v>
      </c>
      <c r="F22" s="9">
        <v>0.4</v>
      </c>
      <c r="G22" s="6">
        <v>80.900000000000006</v>
      </c>
      <c r="H22">
        <v>0</v>
      </c>
      <c r="I22" s="9">
        <v>0</v>
      </c>
      <c r="J22" s="6">
        <v>0</v>
      </c>
      <c r="K22">
        <v>1</v>
      </c>
      <c r="L22" s="9">
        <v>0.2</v>
      </c>
      <c r="M22" s="6">
        <v>59.71</v>
      </c>
    </row>
    <row r="23" spans="1:13" x14ac:dyDescent="0.35">
      <c r="A23" t="s">
        <v>324</v>
      </c>
      <c r="B23" t="s">
        <v>63</v>
      </c>
      <c r="C23">
        <v>3</v>
      </c>
      <c r="D23" s="6">
        <v>840.78</v>
      </c>
      <c r="E23">
        <v>1</v>
      </c>
      <c r="F23" s="9">
        <v>0.33333333333333331</v>
      </c>
      <c r="G23" s="6">
        <v>73.27</v>
      </c>
      <c r="H23">
        <v>1</v>
      </c>
      <c r="I23" s="9">
        <v>0.33333333333333331</v>
      </c>
      <c r="J23" s="6">
        <v>28.08</v>
      </c>
      <c r="K23">
        <v>1</v>
      </c>
      <c r="L23" s="9">
        <v>0.33333333333333331</v>
      </c>
      <c r="M23" s="6">
        <v>439.43</v>
      </c>
    </row>
    <row r="24" spans="1:13" x14ac:dyDescent="0.35">
      <c r="A24" t="s">
        <v>92</v>
      </c>
      <c r="B24" t="s">
        <v>93</v>
      </c>
      <c r="C24">
        <v>7</v>
      </c>
      <c r="D24" s="6">
        <v>1379.03</v>
      </c>
      <c r="E24">
        <v>1</v>
      </c>
      <c r="F24" s="9">
        <v>0.14285714285714285</v>
      </c>
      <c r="G24" s="6">
        <v>59.96</v>
      </c>
      <c r="H24">
        <v>0</v>
      </c>
      <c r="I24" s="9">
        <v>0</v>
      </c>
      <c r="J24" s="6">
        <v>0</v>
      </c>
      <c r="K24">
        <v>1</v>
      </c>
      <c r="L24" s="9">
        <v>0.14285714285714285</v>
      </c>
      <c r="M24" s="6">
        <v>119.45</v>
      </c>
    </row>
    <row r="25" spans="1:13" x14ac:dyDescent="0.35">
      <c r="A25" t="s">
        <v>125</v>
      </c>
      <c r="B25" t="s">
        <v>86</v>
      </c>
      <c r="C25">
        <v>3</v>
      </c>
      <c r="D25" s="6">
        <v>1288.4299999999998</v>
      </c>
      <c r="E25">
        <v>1</v>
      </c>
      <c r="F25" s="9">
        <v>0.33333333333333331</v>
      </c>
      <c r="G25" s="6">
        <v>53.4</v>
      </c>
      <c r="H25">
        <v>0</v>
      </c>
      <c r="I25" s="9">
        <v>0</v>
      </c>
      <c r="J25" s="6">
        <v>0</v>
      </c>
      <c r="K25">
        <v>1</v>
      </c>
      <c r="L25" s="9">
        <v>0.33333333333333331</v>
      </c>
      <c r="M25" s="6">
        <v>394.13</v>
      </c>
    </row>
    <row r="26" spans="1:13" x14ac:dyDescent="0.35">
      <c r="A26" t="s">
        <v>282</v>
      </c>
      <c r="B26" t="s">
        <v>86</v>
      </c>
      <c r="C26">
        <v>3</v>
      </c>
      <c r="D26" s="6">
        <v>380.65</v>
      </c>
      <c r="E26">
        <v>1</v>
      </c>
      <c r="F26" s="9">
        <v>0.33333333333333331</v>
      </c>
      <c r="G26" s="6">
        <v>52.57</v>
      </c>
      <c r="H26">
        <v>1</v>
      </c>
      <c r="I26" s="9">
        <v>0.33333333333333331</v>
      </c>
      <c r="J26" s="6">
        <v>15.21</v>
      </c>
      <c r="K26">
        <v>1</v>
      </c>
      <c r="L26" s="9">
        <v>0.33333333333333331</v>
      </c>
      <c r="M26" s="6">
        <v>15.21</v>
      </c>
    </row>
    <row r="27" spans="1:13" x14ac:dyDescent="0.35">
      <c r="A27" t="s">
        <v>142</v>
      </c>
      <c r="B27" t="s">
        <v>71</v>
      </c>
      <c r="C27">
        <v>15</v>
      </c>
      <c r="D27" s="6">
        <v>2224.23</v>
      </c>
      <c r="E27">
        <v>4</v>
      </c>
      <c r="F27" s="9">
        <v>0.26666666666666666</v>
      </c>
      <c r="G27" s="6">
        <v>40.119999999999997</v>
      </c>
      <c r="H27">
        <v>1</v>
      </c>
      <c r="I27" s="9">
        <v>6.6666666666666666E-2</v>
      </c>
      <c r="J27" s="6">
        <v>19.690000000000001</v>
      </c>
      <c r="K27">
        <v>3</v>
      </c>
      <c r="L27" s="9">
        <v>0.2</v>
      </c>
      <c r="M27" s="6">
        <v>448.8</v>
      </c>
    </row>
    <row r="28" spans="1:13" x14ac:dyDescent="0.35">
      <c r="A28" t="s">
        <v>219</v>
      </c>
      <c r="B28" t="s">
        <v>86</v>
      </c>
      <c r="C28">
        <v>2</v>
      </c>
      <c r="D28" s="6">
        <v>441.25</v>
      </c>
      <c r="E28">
        <v>1</v>
      </c>
      <c r="F28" s="9">
        <v>0.5</v>
      </c>
      <c r="G28" s="6">
        <v>38.51</v>
      </c>
      <c r="H28">
        <v>0</v>
      </c>
      <c r="I28" s="9">
        <v>0</v>
      </c>
      <c r="J28" s="6">
        <v>0</v>
      </c>
      <c r="K28">
        <v>1</v>
      </c>
      <c r="L28" s="9">
        <v>0.5</v>
      </c>
      <c r="M28" s="6">
        <v>338.51</v>
      </c>
    </row>
    <row r="29" spans="1:13" x14ac:dyDescent="0.35">
      <c r="A29" t="s">
        <v>288</v>
      </c>
      <c r="B29" t="s">
        <v>86</v>
      </c>
      <c r="C29">
        <v>6</v>
      </c>
      <c r="D29" s="6">
        <v>815.03</v>
      </c>
      <c r="E29">
        <v>3</v>
      </c>
      <c r="F29" s="9">
        <v>0.5</v>
      </c>
      <c r="G29" s="6">
        <v>37.61</v>
      </c>
      <c r="H29">
        <v>0</v>
      </c>
      <c r="I29" s="9">
        <v>0</v>
      </c>
      <c r="J29" s="6">
        <v>0</v>
      </c>
      <c r="K29">
        <v>3</v>
      </c>
      <c r="L29" s="9">
        <v>0.5</v>
      </c>
      <c r="M29" s="6">
        <v>449.29</v>
      </c>
    </row>
    <row r="30" spans="1:13" x14ac:dyDescent="0.35">
      <c r="A30" t="s">
        <v>151</v>
      </c>
      <c r="B30" t="s">
        <v>86</v>
      </c>
      <c r="C30">
        <v>2</v>
      </c>
      <c r="D30" s="6">
        <v>357.87</v>
      </c>
      <c r="E30">
        <v>1</v>
      </c>
      <c r="F30" s="9">
        <v>0.5</v>
      </c>
      <c r="G30" s="6">
        <v>30.08</v>
      </c>
      <c r="H30">
        <v>1</v>
      </c>
      <c r="I30" s="9">
        <v>0.5</v>
      </c>
      <c r="J30" s="6">
        <v>177.79</v>
      </c>
      <c r="K30">
        <v>0</v>
      </c>
      <c r="L30" s="9">
        <v>0</v>
      </c>
      <c r="M30" s="6">
        <v>0</v>
      </c>
    </row>
    <row r="31" spans="1:13" x14ac:dyDescent="0.35">
      <c r="A31" t="s">
        <v>396</v>
      </c>
      <c r="B31" t="s">
        <v>93</v>
      </c>
      <c r="C31">
        <v>3</v>
      </c>
      <c r="D31" s="6">
        <v>290.64999999999998</v>
      </c>
      <c r="E31">
        <v>1</v>
      </c>
      <c r="F31" s="9">
        <v>0.33333333333333331</v>
      </c>
      <c r="G31" s="6">
        <v>11.38</v>
      </c>
      <c r="H31">
        <v>2</v>
      </c>
      <c r="I31" s="9">
        <v>0.66666666666666663</v>
      </c>
      <c r="J31" s="6">
        <v>204.27</v>
      </c>
      <c r="K31">
        <v>1</v>
      </c>
      <c r="L31" s="9">
        <v>0.33333333333333331</v>
      </c>
      <c r="M31" s="6">
        <v>189.71</v>
      </c>
    </row>
    <row r="32" spans="1:13" x14ac:dyDescent="0.35">
      <c r="A32" t="s">
        <v>196</v>
      </c>
      <c r="B32" t="s">
        <v>71</v>
      </c>
      <c r="C32">
        <v>6</v>
      </c>
      <c r="D32" s="6">
        <v>1105.1499999999999</v>
      </c>
      <c r="E32">
        <v>1</v>
      </c>
      <c r="F32" s="9">
        <v>0.16666666666666666</v>
      </c>
      <c r="G32" s="6">
        <v>9.8800000000000008</v>
      </c>
      <c r="H32">
        <v>2</v>
      </c>
      <c r="I32" s="9">
        <v>0.33333333333333331</v>
      </c>
      <c r="J32" s="6">
        <v>687.22</v>
      </c>
      <c r="K32">
        <v>1</v>
      </c>
      <c r="L32" s="9">
        <v>0.16666666666666666</v>
      </c>
      <c r="M32" s="6">
        <v>12.86</v>
      </c>
    </row>
    <row r="33" spans="1:13" x14ac:dyDescent="0.35">
      <c r="A33" t="s">
        <v>453</v>
      </c>
      <c r="B33" t="s">
        <v>86</v>
      </c>
      <c r="C33">
        <v>1</v>
      </c>
      <c r="D33" s="6">
        <v>58.14</v>
      </c>
      <c r="E33">
        <v>1</v>
      </c>
      <c r="F33" s="9">
        <v>1</v>
      </c>
      <c r="G33" s="6">
        <v>8.14</v>
      </c>
      <c r="H33">
        <v>0</v>
      </c>
      <c r="I33" s="9">
        <v>0</v>
      </c>
      <c r="J33" s="6">
        <v>0</v>
      </c>
      <c r="K33">
        <v>0</v>
      </c>
      <c r="L33" s="9">
        <v>0</v>
      </c>
      <c r="M33" s="6">
        <v>0</v>
      </c>
    </row>
    <row r="34" spans="1:13" x14ac:dyDescent="0.35">
      <c r="A34" t="s">
        <v>53</v>
      </c>
      <c r="B34" t="s">
        <v>42</v>
      </c>
      <c r="C34">
        <v>4</v>
      </c>
      <c r="D34" s="6">
        <v>239.49</v>
      </c>
      <c r="E34">
        <v>1</v>
      </c>
      <c r="F34" s="9">
        <v>0.25</v>
      </c>
      <c r="G34" s="6">
        <v>6.55</v>
      </c>
      <c r="H34">
        <v>0</v>
      </c>
      <c r="I34" s="9">
        <v>0</v>
      </c>
      <c r="J34" s="6">
        <v>0</v>
      </c>
      <c r="K34">
        <v>0</v>
      </c>
      <c r="L34" s="9">
        <v>0</v>
      </c>
      <c r="M34" s="6">
        <v>0</v>
      </c>
    </row>
    <row r="35" spans="1:13" x14ac:dyDescent="0.35">
      <c r="A35" t="s">
        <v>249</v>
      </c>
      <c r="B35" t="s">
        <v>63</v>
      </c>
      <c r="C35">
        <v>3</v>
      </c>
      <c r="D35" s="6">
        <v>235.23000000000002</v>
      </c>
      <c r="E35">
        <v>1</v>
      </c>
      <c r="F35" s="9">
        <v>0.33333333333333331</v>
      </c>
      <c r="G35" s="6">
        <v>3.28</v>
      </c>
      <c r="H35">
        <v>0</v>
      </c>
      <c r="I35" s="9">
        <v>0</v>
      </c>
      <c r="J35" s="6">
        <v>0</v>
      </c>
      <c r="K35">
        <v>0</v>
      </c>
      <c r="L35" s="9">
        <v>0</v>
      </c>
      <c r="M35" s="6">
        <v>0</v>
      </c>
    </row>
    <row r="36" spans="1:13" x14ac:dyDescent="0.35">
      <c r="A36" t="s">
        <v>181</v>
      </c>
      <c r="B36" t="s">
        <v>63</v>
      </c>
      <c r="C36">
        <v>5</v>
      </c>
      <c r="D36" s="6">
        <v>273.55</v>
      </c>
      <c r="E36">
        <v>0</v>
      </c>
      <c r="F36" s="9">
        <v>0</v>
      </c>
      <c r="G36" s="6">
        <v>0</v>
      </c>
      <c r="H36">
        <v>2</v>
      </c>
      <c r="I36" s="9">
        <v>0.4</v>
      </c>
      <c r="J36" s="6">
        <v>34.409999999999997</v>
      </c>
      <c r="K36">
        <v>2</v>
      </c>
      <c r="L36" s="9">
        <v>0.4</v>
      </c>
      <c r="M36" s="6">
        <v>61.19</v>
      </c>
    </row>
    <row r="37" spans="1:13" x14ac:dyDescent="0.35">
      <c r="A37" t="s">
        <v>215</v>
      </c>
      <c r="B37" t="s">
        <v>86</v>
      </c>
      <c r="C37">
        <v>4</v>
      </c>
      <c r="D37" s="6">
        <v>698.84999999999991</v>
      </c>
      <c r="E37">
        <v>0</v>
      </c>
      <c r="F37" s="9">
        <v>0</v>
      </c>
      <c r="G37" s="6">
        <v>0</v>
      </c>
      <c r="H37">
        <v>0</v>
      </c>
      <c r="I37" s="9">
        <v>0</v>
      </c>
      <c r="J37" s="6">
        <v>0</v>
      </c>
      <c r="K37">
        <v>2</v>
      </c>
      <c r="L37" s="9">
        <v>0.5</v>
      </c>
      <c r="M37" s="6">
        <v>472.93</v>
      </c>
    </row>
    <row r="38" spans="1:13" x14ac:dyDescent="0.35">
      <c r="A38" t="s">
        <v>260</v>
      </c>
      <c r="B38" t="s">
        <v>86</v>
      </c>
      <c r="C38">
        <v>2</v>
      </c>
      <c r="D38" s="6">
        <v>132.37</v>
      </c>
      <c r="E38">
        <v>0</v>
      </c>
      <c r="F38" s="9">
        <v>0</v>
      </c>
      <c r="G38" s="6">
        <v>0</v>
      </c>
      <c r="H38">
        <v>0</v>
      </c>
      <c r="I38" s="9">
        <v>0</v>
      </c>
      <c r="J38" s="6">
        <v>0</v>
      </c>
      <c r="K38">
        <v>0</v>
      </c>
      <c r="L38" s="9">
        <v>0</v>
      </c>
      <c r="M38" s="6">
        <v>0</v>
      </c>
    </row>
    <row r="39" spans="1:13" x14ac:dyDescent="0.35">
      <c r="A39" t="s">
        <v>242</v>
      </c>
      <c r="B39" t="s">
        <v>63</v>
      </c>
      <c r="C39">
        <v>1</v>
      </c>
      <c r="D39" s="6">
        <v>49.24</v>
      </c>
      <c r="E39">
        <v>0</v>
      </c>
      <c r="F39" s="9">
        <v>0</v>
      </c>
      <c r="G39" s="6">
        <v>0</v>
      </c>
      <c r="H39">
        <v>0</v>
      </c>
      <c r="I39" s="9">
        <v>0</v>
      </c>
      <c r="J39" s="6">
        <v>0</v>
      </c>
      <c r="K39">
        <v>0</v>
      </c>
      <c r="L39" s="9">
        <v>0</v>
      </c>
      <c r="M39" s="6">
        <v>0</v>
      </c>
    </row>
    <row r="40" spans="1:13" x14ac:dyDescent="0.35">
      <c r="A40" t="s">
        <v>495</v>
      </c>
      <c r="B40" t="s">
        <v>71</v>
      </c>
      <c r="C40">
        <v>1</v>
      </c>
      <c r="D40" s="6">
        <v>46.36</v>
      </c>
      <c r="E40">
        <v>0</v>
      </c>
      <c r="F40" s="9">
        <v>0</v>
      </c>
      <c r="G40" s="6">
        <v>0</v>
      </c>
      <c r="H40">
        <v>0</v>
      </c>
      <c r="I40" s="9">
        <v>0</v>
      </c>
      <c r="J40" s="6">
        <v>0</v>
      </c>
      <c r="K40">
        <v>0</v>
      </c>
      <c r="L40" s="9">
        <v>0</v>
      </c>
      <c r="M40" s="6">
        <v>0</v>
      </c>
    </row>
    <row r="41" spans="1:13" x14ac:dyDescent="0.35">
      <c r="A41" t="s">
        <v>79</v>
      </c>
      <c r="B41" t="s">
        <v>80</v>
      </c>
      <c r="C41">
        <v>3</v>
      </c>
      <c r="D41" s="6">
        <v>223.95</v>
      </c>
      <c r="E41">
        <v>0</v>
      </c>
      <c r="F41" s="9">
        <v>0</v>
      </c>
      <c r="G41" s="6">
        <v>0</v>
      </c>
      <c r="H41">
        <v>1</v>
      </c>
      <c r="I41" s="9">
        <v>0.33333333333333331</v>
      </c>
      <c r="J41" s="6">
        <v>131.94999999999999</v>
      </c>
      <c r="K41">
        <v>1</v>
      </c>
      <c r="L41" s="9">
        <v>0.33333333333333331</v>
      </c>
      <c r="M41" s="6">
        <v>38.549999999999997</v>
      </c>
    </row>
    <row r="42" spans="1:13" x14ac:dyDescent="0.35">
      <c r="A42" t="s">
        <v>292</v>
      </c>
      <c r="B42" t="s">
        <v>63</v>
      </c>
      <c r="C42">
        <v>4</v>
      </c>
      <c r="D42" s="6">
        <v>1053.8499999999999</v>
      </c>
      <c r="E42">
        <v>0</v>
      </c>
      <c r="F42" s="9">
        <v>0</v>
      </c>
      <c r="G42" s="6">
        <v>0</v>
      </c>
      <c r="H42">
        <v>1</v>
      </c>
      <c r="I42" s="9">
        <v>0.25</v>
      </c>
      <c r="J42" s="6">
        <v>46.15</v>
      </c>
      <c r="K42">
        <v>1</v>
      </c>
      <c r="L42" s="9">
        <v>0.25</v>
      </c>
      <c r="M42" s="6">
        <v>129.5</v>
      </c>
    </row>
    <row r="43" spans="1:13" x14ac:dyDescent="0.35">
      <c r="A43" t="s">
        <v>245</v>
      </c>
      <c r="B43" t="s">
        <v>63</v>
      </c>
      <c r="C43">
        <v>4</v>
      </c>
      <c r="D43" s="6">
        <v>290.47000000000003</v>
      </c>
      <c r="E43">
        <v>0</v>
      </c>
      <c r="F43" s="9">
        <v>0</v>
      </c>
      <c r="G43" s="6">
        <v>0</v>
      </c>
      <c r="H43">
        <v>0</v>
      </c>
      <c r="I43" s="9">
        <v>0</v>
      </c>
      <c r="J43" s="6">
        <v>0</v>
      </c>
      <c r="K43">
        <v>1</v>
      </c>
      <c r="L43" s="9">
        <v>0.25</v>
      </c>
      <c r="M43" s="6">
        <v>52.74</v>
      </c>
    </row>
    <row r="44" spans="1:13" x14ac:dyDescent="0.35">
      <c r="A44" t="s">
        <v>296</v>
      </c>
      <c r="B44" t="s">
        <v>80</v>
      </c>
      <c r="C44">
        <v>4</v>
      </c>
      <c r="D44" s="6">
        <v>208.64</v>
      </c>
      <c r="E44">
        <v>0</v>
      </c>
      <c r="F44" s="9">
        <v>0</v>
      </c>
      <c r="G44" s="6">
        <v>0</v>
      </c>
      <c r="H44">
        <v>0</v>
      </c>
      <c r="I44" s="9">
        <v>0</v>
      </c>
      <c r="J44" s="6">
        <v>0</v>
      </c>
      <c r="K44">
        <v>0</v>
      </c>
      <c r="L44" s="9">
        <v>0</v>
      </c>
      <c r="M44" s="6">
        <v>0</v>
      </c>
    </row>
    <row r="45" spans="1:13" x14ac:dyDescent="0.35">
      <c r="A45" t="s">
        <v>459</v>
      </c>
      <c r="B45" t="s">
        <v>80</v>
      </c>
      <c r="C45">
        <v>1</v>
      </c>
      <c r="D45" s="6">
        <v>45.57</v>
      </c>
      <c r="E45">
        <v>0</v>
      </c>
      <c r="F45" s="9">
        <v>0</v>
      </c>
      <c r="G45" s="6">
        <v>0</v>
      </c>
      <c r="H45">
        <v>0</v>
      </c>
      <c r="I45" s="9">
        <v>0</v>
      </c>
      <c r="J45" s="6">
        <v>0</v>
      </c>
      <c r="K45">
        <v>1</v>
      </c>
      <c r="L45" s="9">
        <v>1</v>
      </c>
      <c r="M45" s="6">
        <v>45.57</v>
      </c>
    </row>
    <row r="46" spans="1:13" x14ac:dyDescent="0.35">
      <c r="A46" t="s">
        <v>257</v>
      </c>
      <c r="B46" t="s">
        <v>63</v>
      </c>
      <c r="C46">
        <v>2</v>
      </c>
      <c r="D46" s="6">
        <v>914.06</v>
      </c>
      <c r="E46">
        <v>0</v>
      </c>
      <c r="F46" s="9">
        <v>0</v>
      </c>
      <c r="G46" s="6">
        <v>0</v>
      </c>
      <c r="H46">
        <v>0</v>
      </c>
      <c r="I46" s="9">
        <v>0</v>
      </c>
      <c r="J46" s="6">
        <v>0</v>
      </c>
      <c r="K46">
        <v>0</v>
      </c>
      <c r="L46" s="9">
        <v>0</v>
      </c>
      <c r="M46" s="6">
        <v>0</v>
      </c>
    </row>
    <row r="47" spans="1:13" x14ac:dyDescent="0.35">
      <c r="A47" t="s">
        <v>408</v>
      </c>
      <c r="B47" t="s">
        <v>80</v>
      </c>
      <c r="C47">
        <v>1</v>
      </c>
      <c r="D47" s="6">
        <v>125.61</v>
      </c>
      <c r="E47">
        <v>0</v>
      </c>
      <c r="F47" s="9">
        <v>0</v>
      </c>
      <c r="G47" s="6">
        <v>0</v>
      </c>
      <c r="H47">
        <v>0</v>
      </c>
      <c r="I47" s="9">
        <v>0</v>
      </c>
      <c r="J47" s="6">
        <v>0</v>
      </c>
      <c r="K47">
        <v>0</v>
      </c>
      <c r="L47" s="9">
        <v>0</v>
      </c>
      <c r="M47" s="6">
        <v>0</v>
      </c>
    </row>
    <row r="48" spans="1:13" x14ac:dyDescent="0.35">
      <c r="A48" t="s">
        <v>199</v>
      </c>
      <c r="B48" t="s">
        <v>71</v>
      </c>
      <c r="C48">
        <v>3</v>
      </c>
      <c r="D48" s="6">
        <v>120.72</v>
      </c>
      <c r="E48">
        <v>0</v>
      </c>
      <c r="F48" s="9">
        <v>0</v>
      </c>
      <c r="G48" s="6">
        <v>0</v>
      </c>
      <c r="H48">
        <v>0</v>
      </c>
      <c r="I48" s="9">
        <v>0</v>
      </c>
      <c r="J48" s="6">
        <v>0</v>
      </c>
      <c r="K48">
        <v>2</v>
      </c>
      <c r="L48" s="9">
        <v>0.66666666666666663</v>
      </c>
      <c r="M48" s="6">
        <v>87.61999999999999</v>
      </c>
    </row>
    <row r="49" spans="1:13" x14ac:dyDescent="0.35">
      <c r="A49" t="s">
        <v>171</v>
      </c>
      <c r="B49" t="s">
        <v>80</v>
      </c>
      <c r="C49">
        <v>5</v>
      </c>
      <c r="D49">
        <v>776.06999999999994</v>
      </c>
      <c r="E49">
        <v>0</v>
      </c>
      <c r="F49" s="9">
        <v>0</v>
      </c>
      <c r="G49" s="6">
        <v>0</v>
      </c>
      <c r="H49">
        <v>0</v>
      </c>
      <c r="I49" s="9">
        <v>0</v>
      </c>
      <c r="J49" s="6">
        <v>0</v>
      </c>
      <c r="K49">
        <v>0</v>
      </c>
      <c r="L49" s="9">
        <v>0</v>
      </c>
      <c r="M49" s="6">
        <v>0</v>
      </c>
    </row>
    <row r="50" spans="1:13" x14ac:dyDescent="0.35">
      <c r="A50" t="s">
        <v>321</v>
      </c>
      <c r="B50" t="s">
        <v>80</v>
      </c>
      <c r="C50">
        <v>2</v>
      </c>
      <c r="D50" s="6">
        <v>788.43999999999994</v>
      </c>
      <c r="E50">
        <v>0</v>
      </c>
      <c r="F50" s="9">
        <v>0</v>
      </c>
      <c r="G50" s="6">
        <v>0</v>
      </c>
      <c r="H50">
        <v>0</v>
      </c>
      <c r="I50" s="9">
        <v>0</v>
      </c>
      <c r="J50" s="6">
        <v>0</v>
      </c>
      <c r="K50">
        <v>1</v>
      </c>
      <c r="L50" s="9">
        <v>0.5</v>
      </c>
      <c r="M50" s="6">
        <v>51.68</v>
      </c>
    </row>
    <row r="51" spans="1:13" x14ac:dyDescent="0.35">
      <c r="A51" t="s">
        <v>253</v>
      </c>
      <c r="B51" t="s">
        <v>42</v>
      </c>
      <c r="C51">
        <v>4</v>
      </c>
      <c r="D51" s="6">
        <v>219.06</v>
      </c>
      <c r="E51">
        <v>0</v>
      </c>
      <c r="F51" s="9">
        <v>0</v>
      </c>
      <c r="G51" s="6">
        <v>0</v>
      </c>
      <c r="H51">
        <v>0</v>
      </c>
      <c r="I51" s="9">
        <v>0</v>
      </c>
      <c r="J51" s="6">
        <v>0</v>
      </c>
      <c r="K51">
        <v>3</v>
      </c>
      <c r="L51" s="9">
        <v>0.75</v>
      </c>
      <c r="M51" s="6">
        <v>177.87</v>
      </c>
    </row>
    <row r="52" spans="1:13" x14ac:dyDescent="0.35">
      <c r="A52" t="s">
        <v>208</v>
      </c>
      <c r="B52" t="s">
        <v>63</v>
      </c>
      <c r="C52">
        <v>2</v>
      </c>
      <c r="D52" s="6">
        <v>92.63</v>
      </c>
      <c r="E52">
        <v>0</v>
      </c>
      <c r="F52" s="9">
        <v>0</v>
      </c>
      <c r="G52" s="6">
        <v>0</v>
      </c>
      <c r="H52">
        <v>1</v>
      </c>
      <c r="I52" s="9">
        <v>0.5</v>
      </c>
      <c r="J52" s="6">
        <v>20.9</v>
      </c>
      <c r="K52">
        <v>0</v>
      </c>
      <c r="L52" s="9">
        <v>0</v>
      </c>
      <c r="M52" s="6">
        <v>0</v>
      </c>
    </row>
    <row r="53" spans="1:13" x14ac:dyDescent="0.35">
      <c r="A53" t="s">
        <v>527</v>
      </c>
      <c r="C53">
        <v>302</v>
      </c>
      <c r="D53" s="6">
        <v>66087.719999999972</v>
      </c>
      <c r="E53">
        <v>84</v>
      </c>
      <c r="F53" s="9">
        <v>0.27814569536423839</v>
      </c>
      <c r="G53" s="6">
        <v>5679.81</v>
      </c>
      <c r="H53">
        <v>38</v>
      </c>
      <c r="I53" s="9">
        <v>0.12582781456953643</v>
      </c>
      <c r="J53" s="6">
        <v>6784.0400000000009</v>
      </c>
      <c r="K53">
        <v>69</v>
      </c>
      <c r="L53" s="9">
        <v>0.22847682119205298</v>
      </c>
      <c r="M53" s="6">
        <v>14483.939999999997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911FAF-7DF3-4317-84DA-540B912606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TE_Audit</vt:lpstr>
      <vt:lpstr>Validation</vt:lpstr>
      <vt:lpstr>Spend Analysis</vt:lpstr>
      <vt:lpstr>Compliance Analysis</vt:lpstr>
      <vt:lpstr>Employee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Biriukov Maksym (Logistics Region Europe: Operations)</dc:creator>
  <cp:lastModifiedBy>Biriukov Maksym (Logistics Region Europe: Operations)</cp:lastModifiedBy>
  <dcterms:created xsi:type="dcterms:W3CDTF">2015-06-05T18:17:20Z</dcterms:created>
  <dcterms:modified xsi:type="dcterms:W3CDTF">2026-09-02T07:57:57Z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c8368e-30c4-491d-8b34-c5c9ec48e6ee_Enabled">
    <vt:lpwstr>true</vt:lpwstr>
  </property>
  <property fmtid="{D5CDD505-2E9C-101B-9397-08002B2CF9AE}" pid="3" name="MSIP_Label_2ac8368e-30c4-491d-8b34-c5c9ec48e6ee_SetDate">
    <vt:lpwstr>2026-09-02T07:12:48Z</vt:lpwstr>
  </property>
  <property fmtid="{D5CDD505-2E9C-101B-9397-08002B2CF9AE}" pid="4" name="MSIP_Label_2ac8368e-30c4-491d-8b34-c5c9ec48e6ee_Method">
    <vt:lpwstr>Privileged</vt:lpwstr>
  </property>
  <property fmtid="{D5CDD505-2E9C-101B-9397-08002B2CF9AE}" pid="5" name="MSIP_Label_2ac8368e-30c4-491d-8b34-c5c9ec48e6ee_Name">
    <vt:lpwstr>IDM - Public</vt:lpwstr>
  </property>
  <property fmtid="{D5CDD505-2E9C-101B-9397-08002B2CF9AE}" pid="6" name="MSIP_Label_2ac8368e-30c4-491d-8b34-c5c9ec48e6ee_SiteId">
    <vt:lpwstr>30f52344-4663-4c2e-bab3-61bf24ebbed8</vt:lpwstr>
  </property>
  <property fmtid="{D5CDD505-2E9C-101B-9397-08002B2CF9AE}" pid="7" name="MSIP_Label_2ac8368e-30c4-491d-8b34-c5c9ec48e6ee_ActionId">
    <vt:lpwstr>27c5c964-d37a-4adc-a4f3-a529fe23a492</vt:lpwstr>
  </property>
  <property fmtid="{D5CDD505-2E9C-101B-9397-08002B2CF9AE}" pid="8" name="MSIP_Label_2ac8368e-30c4-491d-8b34-c5c9ec48e6ee_ContentBits">
    <vt:lpwstr>0</vt:lpwstr>
  </property>
  <property fmtid="{D5CDD505-2E9C-101B-9397-08002B2CF9AE}" pid="9" name="MSIP_Label_2ac8368e-30c4-491d-8b34-c5c9ec48e6ee_Tag">
    <vt:lpwstr>10, 0, 1, 1</vt:lpwstr>
  </property>
</Properties>
</file>